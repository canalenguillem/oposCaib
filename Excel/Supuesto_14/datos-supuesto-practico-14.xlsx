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Excel, Ayuntamiento - practica 3\"/>
    </mc:Choice>
  </mc:AlternateContent>
  <xr:revisionPtr revIDLastSave="0" documentId="13_ncr:1_{E5D642D9-54DB-4B93-B738-16C83FE8FA06}" xr6:coauthVersionLast="47" xr6:coauthVersionMax="47" xr10:uidLastSave="{00000000-0000-0000-0000-000000000000}"/>
  <bookViews>
    <workbookView xWindow="10" yWindow="5" windowWidth="24410" windowHeight="15855" tabRatio="493" xr2:uid="{00000000-000D-0000-FFFF-FFFF00000000}"/>
  </bookViews>
  <sheets>
    <sheet name="Datos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6" l="1"/>
  <c r="J11" i="16"/>
  <c r="I11" i="16"/>
  <c r="H11" i="16"/>
  <c r="G11" i="16"/>
  <c r="E11" i="16"/>
  <c r="F11" i="16" s="1"/>
  <c r="K10" i="16"/>
  <c r="J10" i="16"/>
  <c r="I10" i="16"/>
  <c r="H10" i="16"/>
  <c r="G10" i="16"/>
  <c r="E10" i="16"/>
  <c r="F10" i="16" s="1"/>
  <c r="K9" i="16"/>
  <c r="J9" i="16"/>
  <c r="I9" i="16"/>
  <c r="H9" i="16"/>
  <c r="G9" i="16"/>
  <c r="E9" i="16"/>
  <c r="F9" i="16" s="1"/>
  <c r="K8" i="16"/>
  <c r="J8" i="16"/>
  <c r="I8" i="16"/>
  <c r="H8" i="16"/>
  <c r="G8" i="16"/>
  <c r="E8" i="16"/>
  <c r="F8" i="16" s="1"/>
  <c r="K7" i="16"/>
  <c r="J7" i="16"/>
  <c r="I7" i="16"/>
  <c r="H7" i="16"/>
  <c r="G7" i="16"/>
  <c r="E7" i="16"/>
  <c r="F7" i="16" s="1"/>
  <c r="K6" i="16"/>
  <c r="J6" i="16"/>
  <c r="I6" i="16"/>
  <c r="H6" i="16"/>
  <c r="G6" i="16"/>
  <c r="E6" i="16"/>
  <c r="F6" i="16" s="1"/>
  <c r="K5" i="16"/>
  <c r="J5" i="16"/>
  <c r="I5" i="16"/>
  <c r="H5" i="16"/>
  <c r="G5" i="16"/>
  <c r="E5" i="16"/>
  <c r="F5" i="16" s="1"/>
  <c r="K4" i="16"/>
  <c r="J4" i="16"/>
  <c r="I4" i="16"/>
  <c r="H4" i="16"/>
  <c r="G4" i="16"/>
  <c r="E4" i="16"/>
  <c r="F4" i="16" s="1"/>
  <c r="K3" i="16"/>
  <c r="J3" i="16"/>
  <c r="I3" i="16"/>
  <c r="H3" i="16"/>
  <c r="G3" i="16"/>
  <c r="E3" i="16"/>
  <c r="F3" i="16" s="1"/>
</calcChain>
</file>

<file path=xl/sharedStrings.xml><?xml version="1.0" encoding="utf-8"?>
<sst xmlns="http://schemas.openxmlformats.org/spreadsheetml/2006/main" count="20" uniqueCount="20">
  <si>
    <t>COSTE DE ENTREGAS A DELEGACIONES LOGÍSTICAS</t>
  </si>
  <si>
    <t>ALMERÍA</t>
  </si>
  <si>
    <t>CÁDIZ</t>
  </si>
  <si>
    <t>LEÓN</t>
  </si>
  <si>
    <t>LOGROÑO</t>
  </si>
  <si>
    <t>MADRID</t>
  </si>
  <si>
    <t>MURCIA</t>
  </si>
  <si>
    <t>OVIEDO</t>
  </si>
  <si>
    <t>PALENCIA</t>
  </si>
  <si>
    <t>SEVILLA</t>
  </si>
  <si>
    <t>VALENCIA</t>
  </si>
  <si>
    <t>1-2</t>
  </si>
  <si>
    <t>3-7</t>
  </si>
  <si>
    <t>8-10</t>
  </si>
  <si>
    <t>11-15</t>
  </si>
  <si>
    <t>16-19</t>
  </si>
  <si>
    <t>20-25</t>
  </si>
  <si>
    <t>26-30</t>
  </si>
  <si>
    <t>31-35</t>
  </si>
  <si>
    <t>36-39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</si>
</sst>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M13" sqref="M13"/>
    </sheetView>
  </sheetViews>
  <sheetFormatPr baseColWidth="10" defaultRowHeight="14.75" x14ac:dyDescent="0.75"/>
  <cols>
    <col min="1" max="11" width="7.453125" customWidth="1"/>
  </cols>
  <sheetData>
    <row r="1" spans="1:11" x14ac:dyDescent="0.75">
      <c r="A1" t="s">
        <v>0</v>
      </c>
    </row>
    <row r="2" spans="1:11" x14ac:dyDescent="0.7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75">
      <c r="A3" t="s">
        <v>11</v>
      </c>
      <c r="B3">
        <v>13</v>
      </c>
      <c r="C3">
        <v>15</v>
      </c>
      <c r="D3">
        <v>19</v>
      </c>
      <c r="E3">
        <f>D3+3</f>
        <v>22</v>
      </c>
      <c r="F3">
        <f>E3-1</f>
        <v>21</v>
      </c>
      <c r="G3">
        <f>B3+2.5</f>
        <v>15.5</v>
      </c>
      <c r="H3">
        <f>B3+10</f>
        <v>23</v>
      </c>
      <c r="I3">
        <f>B3+5.5</f>
        <v>18.5</v>
      </c>
      <c r="J3">
        <f>B3+4.55</f>
        <v>17.55</v>
      </c>
      <c r="K3">
        <f>B3+7.25</f>
        <v>20.25</v>
      </c>
    </row>
    <row r="4" spans="1:11" x14ac:dyDescent="0.75">
      <c r="A4" t="s">
        <v>12</v>
      </c>
      <c r="B4">
        <v>17.55</v>
      </c>
      <c r="C4">
        <v>21</v>
      </c>
      <c r="D4">
        <v>25</v>
      </c>
      <c r="E4">
        <f t="shared" ref="E4:E11" si="0">D4+3</f>
        <v>28</v>
      </c>
      <c r="F4">
        <f t="shared" ref="F4:F11" si="1">E4-1</f>
        <v>27</v>
      </c>
      <c r="G4">
        <f t="shared" ref="G4:G11" si="2">B4+2.5</f>
        <v>20.05</v>
      </c>
      <c r="H4">
        <f t="shared" ref="H4:H11" si="3">B4+10</f>
        <v>27.55</v>
      </c>
      <c r="I4">
        <f t="shared" ref="I4:I11" si="4">B4+5.5</f>
        <v>23.05</v>
      </c>
      <c r="J4">
        <f t="shared" ref="J4:J11" si="5">B4+4.55</f>
        <v>22.1</v>
      </c>
      <c r="K4">
        <f t="shared" ref="K4:K11" si="6">B4+7.25</f>
        <v>24.8</v>
      </c>
    </row>
    <row r="5" spans="1:11" x14ac:dyDescent="0.75">
      <c r="A5" t="s">
        <v>13</v>
      </c>
      <c r="B5">
        <v>23.69</v>
      </c>
      <c r="C5">
        <v>28</v>
      </c>
      <c r="D5">
        <v>34</v>
      </c>
      <c r="E5">
        <f t="shared" si="0"/>
        <v>37</v>
      </c>
      <c r="F5">
        <f t="shared" si="1"/>
        <v>36</v>
      </c>
      <c r="G5">
        <f t="shared" si="2"/>
        <v>26.19</v>
      </c>
      <c r="H5">
        <f t="shared" si="3"/>
        <v>33.69</v>
      </c>
      <c r="I5">
        <f t="shared" si="4"/>
        <v>29.19</v>
      </c>
      <c r="J5">
        <f t="shared" si="5"/>
        <v>28.240000000000002</v>
      </c>
      <c r="K5">
        <f t="shared" si="6"/>
        <v>30.94</v>
      </c>
    </row>
    <row r="6" spans="1:11" x14ac:dyDescent="0.75">
      <c r="A6" t="s">
        <v>14</v>
      </c>
      <c r="B6">
        <v>31.98</v>
      </c>
      <c r="C6">
        <v>40</v>
      </c>
      <c r="D6">
        <v>45</v>
      </c>
      <c r="E6">
        <f t="shared" si="0"/>
        <v>48</v>
      </c>
      <c r="F6">
        <f t="shared" si="1"/>
        <v>47</v>
      </c>
      <c r="G6">
        <f t="shared" si="2"/>
        <v>34.480000000000004</v>
      </c>
      <c r="H6">
        <f t="shared" si="3"/>
        <v>41.980000000000004</v>
      </c>
      <c r="I6">
        <f t="shared" si="4"/>
        <v>37.480000000000004</v>
      </c>
      <c r="J6">
        <f t="shared" si="5"/>
        <v>36.53</v>
      </c>
      <c r="K6">
        <f t="shared" si="6"/>
        <v>39.230000000000004</v>
      </c>
    </row>
    <row r="7" spans="1:11" x14ac:dyDescent="0.75">
      <c r="A7" t="s">
        <v>15</v>
      </c>
      <c r="B7">
        <v>45</v>
      </c>
      <c r="C7">
        <v>50</v>
      </c>
      <c r="D7">
        <v>62</v>
      </c>
      <c r="E7">
        <f t="shared" si="0"/>
        <v>65</v>
      </c>
      <c r="F7">
        <f t="shared" si="1"/>
        <v>64</v>
      </c>
      <c r="G7">
        <f t="shared" si="2"/>
        <v>47.5</v>
      </c>
      <c r="H7">
        <f t="shared" si="3"/>
        <v>55</v>
      </c>
      <c r="I7">
        <f t="shared" si="4"/>
        <v>50.5</v>
      </c>
      <c r="J7">
        <f t="shared" si="5"/>
        <v>49.55</v>
      </c>
      <c r="K7">
        <f t="shared" si="6"/>
        <v>52.25</v>
      </c>
    </row>
    <row r="8" spans="1:11" x14ac:dyDescent="0.75">
      <c r="A8" t="s">
        <v>16</v>
      </c>
      <c r="B8">
        <v>58</v>
      </c>
      <c r="C8">
        <v>70</v>
      </c>
      <c r="D8">
        <v>83</v>
      </c>
      <c r="E8">
        <f t="shared" si="0"/>
        <v>86</v>
      </c>
      <c r="F8">
        <f t="shared" si="1"/>
        <v>85</v>
      </c>
      <c r="G8">
        <f t="shared" si="2"/>
        <v>60.5</v>
      </c>
      <c r="H8">
        <f t="shared" si="3"/>
        <v>68</v>
      </c>
      <c r="I8">
        <f t="shared" si="4"/>
        <v>63.5</v>
      </c>
      <c r="J8">
        <f t="shared" si="5"/>
        <v>62.55</v>
      </c>
      <c r="K8">
        <f t="shared" si="6"/>
        <v>65.25</v>
      </c>
    </row>
    <row r="9" spans="1:11" x14ac:dyDescent="0.75">
      <c r="A9" t="s">
        <v>17</v>
      </c>
      <c r="B9">
        <v>79</v>
      </c>
      <c r="C9">
        <v>94</v>
      </c>
      <c r="D9">
        <v>113</v>
      </c>
      <c r="E9">
        <f t="shared" si="0"/>
        <v>116</v>
      </c>
      <c r="F9">
        <f t="shared" si="1"/>
        <v>115</v>
      </c>
      <c r="G9">
        <f t="shared" si="2"/>
        <v>81.5</v>
      </c>
      <c r="H9">
        <f t="shared" si="3"/>
        <v>89</v>
      </c>
      <c r="I9">
        <f t="shared" si="4"/>
        <v>84.5</v>
      </c>
      <c r="J9">
        <f t="shared" si="5"/>
        <v>83.55</v>
      </c>
      <c r="K9">
        <f t="shared" si="6"/>
        <v>86.25</v>
      </c>
    </row>
    <row r="10" spans="1:11" x14ac:dyDescent="0.75">
      <c r="A10" t="s">
        <v>18</v>
      </c>
      <c r="B10">
        <v>105</v>
      </c>
      <c r="C10">
        <v>127</v>
      </c>
      <c r="D10">
        <v>152</v>
      </c>
      <c r="E10">
        <f t="shared" si="0"/>
        <v>155</v>
      </c>
      <c r="F10">
        <f t="shared" si="1"/>
        <v>154</v>
      </c>
      <c r="G10">
        <f t="shared" si="2"/>
        <v>107.5</v>
      </c>
      <c r="H10">
        <f t="shared" si="3"/>
        <v>115</v>
      </c>
      <c r="I10">
        <f t="shared" si="4"/>
        <v>110.5</v>
      </c>
      <c r="J10">
        <f t="shared" si="5"/>
        <v>109.55</v>
      </c>
      <c r="K10">
        <f t="shared" si="6"/>
        <v>112.25</v>
      </c>
    </row>
    <row r="11" spans="1:11" x14ac:dyDescent="0.75">
      <c r="A11" t="s">
        <v>19</v>
      </c>
      <c r="B11">
        <v>140</v>
      </c>
      <c r="C11">
        <v>172</v>
      </c>
      <c r="D11">
        <v>200</v>
      </c>
      <c r="E11">
        <f t="shared" si="0"/>
        <v>203</v>
      </c>
      <c r="F11">
        <f t="shared" si="1"/>
        <v>202</v>
      </c>
      <c r="G11">
        <f t="shared" si="2"/>
        <v>142.5</v>
      </c>
      <c r="H11">
        <f t="shared" si="3"/>
        <v>150</v>
      </c>
      <c r="I11">
        <f t="shared" si="4"/>
        <v>145.5</v>
      </c>
      <c r="J11">
        <f t="shared" si="5"/>
        <v>144.55000000000001</v>
      </c>
      <c r="K11">
        <f t="shared" si="6"/>
        <v>147.25</v>
      </c>
    </row>
  </sheetData>
  <pageMargins left="0.7" right="0.7" top="0.75" bottom="0.75" header="0.3" footer="0.3"/>
  <pageSetup paperSize="9" orientation="portrait" horizontalDpi="720" verticalDpi="7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Naranco</dc:creator>
  <cp:lastModifiedBy>Danielito</cp:lastModifiedBy>
  <dcterms:created xsi:type="dcterms:W3CDTF">2014-09-21T19:36:23Z</dcterms:created>
  <dcterms:modified xsi:type="dcterms:W3CDTF">2026-05-09T09:13:56Z</dcterms:modified>
</cp:coreProperties>
</file>