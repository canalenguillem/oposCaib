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oposCaib\dimarts_16\CAIB_AUXILIAR__Supuesto_181781160818633\CAIB-AUXILIAR, Supuesto-18\"/>
    </mc:Choice>
  </mc:AlternateContent>
  <xr:revisionPtr revIDLastSave="0" documentId="13_ncr:1_{4E3FDE6E-7EC7-4440-9249-93E3DA267B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Excel_BuiltIn__FilterDatabase" localSheetId="0">Hoja1!$A$2:$I$52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3" i="1"/>
  <c r="G4" i="1"/>
  <c r="G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3" i="1"/>
</calcChain>
</file>

<file path=xl/sharedStrings.xml><?xml version="1.0" encoding="utf-8"?>
<sst xmlns="http://schemas.openxmlformats.org/spreadsheetml/2006/main" count="159" uniqueCount="64">
  <si>
    <t>Nombre</t>
  </si>
  <si>
    <t>Sexo</t>
  </si>
  <si>
    <t>Calificacion Curso Anterior</t>
  </si>
  <si>
    <t>Sueldo Familiar</t>
  </si>
  <si>
    <t>Beca Transporte</t>
  </si>
  <si>
    <t>Beca Comedor</t>
  </si>
  <si>
    <t>Beca Estudios</t>
  </si>
  <si>
    <t>Total Importe Becas</t>
  </si>
  <si>
    <t>Total a Pagar</t>
  </si>
  <si>
    <t>Alumno 01</t>
  </si>
  <si>
    <t>H</t>
  </si>
  <si>
    <t>Notable</t>
  </si>
  <si>
    <t>Alumno 02</t>
  </si>
  <si>
    <t>Aprobado</t>
  </si>
  <si>
    <t>Alumno 03</t>
  </si>
  <si>
    <t>M</t>
  </si>
  <si>
    <t>Alumno 04</t>
  </si>
  <si>
    <t>Alumno 05</t>
  </si>
  <si>
    <t>Alumno 06</t>
  </si>
  <si>
    <t>Sobresaliente</t>
  </si>
  <si>
    <t>Alumno 07</t>
  </si>
  <si>
    <t>Alumno 08</t>
  </si>
  <si>
    <t>Alumno 09</t>
  </si>
  <si>
    <t>Alumno 10</t>
  </si>
  <si>
    <t>Alumno 11</t>
  </si>
  <si>
    <t>Alumno 12</t>
  </si>
  <si>
    <t>Alumno 13</t>
  </si>
  <si>
    <t>Alumno 14</t>
  </si>
  <si>
    <t>Alumno 15</t>
  </si>
  <si>
    <t>Alumno 16</t>
  </si>
  <si>
    <t>Alumno 17</t>
  </si>
  <si>
    <t>Alumno 18</t>
  </si>
  <si>
    <t>Alumno 19</t>
  </si>
  <si>
    <t>Alumno 20</t>
  </si>
  <si>
    <t>Alumno 21</t>
  </si>
  <si>
    <t>Alumno 22</t>
  </si>
  <si>
    <t>Alumno 23</t>
  </si>
  <si>
    <t>Alumno 24</t>
  </si>
  <si>
    <t>Alumno 25</t>
  </si>
  <si>
    <t>Alumno 26</t>
  </si>
  <si>
    <t>Alumno 27</t>
  </si>
  <si>
    <t>Alumno 28</t>
  </si>
  <si>
    <t>Alumno 29</t>
  </si>
  <si>
    <t>Alumno 30</t>
  </si>
  <si>
    <t>Alumno 31</t>
  </si>
  <si>
    <t>Alumno 32</t>
  </si>
  <si>
    <t>Alumno 33</t>
  </si>
  <si>
    <t>Alumno 34</t>
  </si>
  <si>
    <t>Alumno 35</t>
  </si>
  <si>
    <t>Alumno 36</t>
  </si>
  <si>
    <t>Alumno 37</t>
  </si>
  <si>
    <t>Alumno 38</t>
  </si>
  <si>
    <t>Alumno 39</t>
  </si>
  <si>
    <t>Alumno 40</t>
  </si>
  <si>
    <t>Alumno 41</t>
  </si>
  <si>
    <t>Alumno 42</t>
  </si>
  <si>
    <t>Alumno 43</t>
  </si>
  <si>
    <t>Alumno 44</t>
  </si>
  <si>
    <t>Alumno 45</t>
  </si>
  <si>
    <t>Alumno 46</t>
  </si>
  <si>
    <t>Alumno 47</t>
  </si>
  <si>
    <t>Alumno 48</t>
  </si>
  <si>
    <t>Alumno 49</t>
  </si>
  <si>
    <t>Alumno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</si>
</sst>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€&quot;"/>
    <numFmt numFmtId="165" formatCode="#,##0.00&quot;    &quot;;#,##0.00&quot;    &quot;;&quot;-&quot;#&quot;    &quot;;&quot; &quot;@&quot; &quot;"/>
    <numFmt numFmtId="167" formatCode="#,##0\ &quot;€&quot;"/>
  </numFmts>
  <fonts count="17"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sz val="10"/>
      <color rgb="FFFFFF00"/>
      <name val="Arial1"/>
    </font>
    <font>
      <b/>
      <sz val="10"/>
      <color theme="1"/>
      <name val="Arial1"/>
    </font>
    <font>
      <sz val="10"/>
      <color rgb="FF000080"/>
      <name val="Arial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FFFF99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12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165" fontId="1" fillId="0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3" fillId="8" borderId="1"/>
    <xf numFmtId="0" fontId="1" fillId="0" borderId="0"/>
    <xf numFmtId="0" fontId="1" fillId="0" borderId="0"/>
    <xf numFmtId="0" fontId="4" fillId="0" borderId="0"/>
  </cellStyleXfs>
  <cellXfs count="10">
    <xf numFmtId="0" fontId="0" fillId="0" borderId="0" xfId="0"/>
    <xf numFmtId="0" fontId="14" fillId="9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16" fillId="10" borderId="2" xfId="8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center"/>
    </xf>
    <xf numFmtId="0" fontId="16" fillId="10" borderId="2" xfId="0" applyFont="1" applyFill="1" applyBorder="1" applyAlignment="1">
      <alignment horizontal="left"/>
    </xf>
    <xf numFmtId="164" fontId="16" fillId="10" borderId="2" xfId="0" applyNumberFormat="1" applyFont="1" applyFill="1" applyBorder="1"/>
    <xf numFmtId="167" fontId="15" fillId="0" borderId="2" xfId="0" applyNumberFormat="1" applyFont="1" applyBorder="1" applyAlignment="1">
      <alignment horizontal="center" vertical="center" wrapText="1"/>
    </xf>
    <xf numFmtId="167" fontId="0" fillId="0" borderId="2" xfId="0" applyNumberFormat="1" applyBorder="1"/>
    <xf numFmtId="167" fontId="0" fillId="0" borderId="0" xfId="0" applyNumberFormat="1"/>
  </cellXfs>
  <cellStyles count="19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Error" xfId="7" xr:uid="{00000000-0005-0000-0000-000005000000}"/>
    <cellStyle name="Excel_BuiltIn_Comma" xfId="8" xr:uid="{00000000-0005-0000-0000-000006000000}"/>
    <cellStyle name="Footnote" xfId="9" xr:uid="{00000000-0005-0000-0000-000007000000}"/>
    <cellStyle name="Good" xfId="10" xr:uid="{00000000-0005-0000-0000-000008000000}"/>
    <cellStyle name="Heading (user)" xfId="11" xr:uid="{00000000-0005-0000-0000-000009000000}"/>
    <cellStyle name="Heading 1" xfId="12" xr:uid="{00000000-0005-0000-0000-00000A000000}"/>
    <cellStyle name="Heading 2" xfId="13" xr:uid="{00000000-0005-0000-0000-00000B000000}"/>
    <cellStyle name="Hyperlink" xfId="14" xr:uid="{00000000-0005-0000-0000-00000C000000}"/>
    <cellStyle name="Neutral" xfId="1" builtinId="28" customBuiltin="1"/>
    <cellStyle name="Normal" xfId="0" builtinId="0" customBuiltin="1"/>
    <cellStyle name="Note" xfId="15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2"/>
  <sheetViews>
    <sheetView tabSelected="1" workbookViewId="0">
      <selection activeCell="G6" sqref="G6"/>
    </sheetView>
  </sheetViews>
  <sheetFormatPr baseColWidth="10" defaultRowHeight="12.75" customHeight="1"/>
  <cols>
    <col min="1" max="1" width="9.796875" customWidth="1"/>
    <col min="2" max="2" width="6.296875" customWidth="1"/>
    <col min="3" max="3" width="12.5" customWidth="1"/>
    <col min="4" max="4" width="10.796875" customWidth="1"/>
    <col min="5" max="5" width="12" style="9" customWidth="1"/>
    <col min="6" max="6" width="11.19921875" style="9" customWidth="1"/>
    <col min="7" max="7" width="10.19921875" style="9" customWidth="1"/>
    <col min="8" max="8" width="11.796875" style="9" customWidth="1"/>
    <col min="9" max="9" width="9.19921875" style="9" customWidth="1"/>
    <col min="10" max="1024" width="9.69921875" customWidth="1"/>
  </cols>
  <sheetData>
    <row r="2" spans="1:9" s="2" customFormat="1" ht="24.75" customHeight="1">
      <c r="A2" s="1" t="s">
        <v>0</v>
      </c>
      <c r="B2" s="1" t="s">
        <v>1</v>
      </c>
      <c r="C2" s="1" t="s">
        <v>2</v>
      </c>
      <c r="D2" s="1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</row>
    <row r="3" spans="1:9" ht="12.75" customHeight="1">
      <c r="A3" s="3" t="s">
        <v>9</v>
      </c>
      <c r="B3" s="4" t="s">
        <v>10</v>
      </c>
      <c r="C3" s="5" t="s">
        <v>11</v>
      </c>
      <c r="D3" s="6">
        <v>54721</v>
      </c>
      <c r="E3" s="8">
        <f>IF(D3&lt;38000,4*22*9,0)</f>
        <v>0</v>
      </c>
      <c r="F3" s="8">
        <f>IF(D3&lt;45000,5*22*9,0)</f>
        <v>0</v>
      </c>
      <c r="G3" s="8">
        <f t="shared" ref="G3:G5" si="0">IF(OR(D3&lt;36000,C3="Sobresaliente"),35764*75%,IF(AND(D3&lt;45000,C3="Aprobado"),35764*25%,IF(AND(D3&lt;54000,C3="Notable"),35764*50%,0)))</f>
        <v>0</v>
      </c>
      <c r="H3" s="8"/>
      <c r="I3" s="8"/>
    </row>
    <row r="4" spans="1:9" ht="12.75" customHeight="1">
      <c r="A4" s="3" t="s">
        <v>12</v>
      </c>
      <c r="B4" s="4" t="s">
        <v>10</v>
      </c>
      <c r="C4" s="5" t="s">
        <v>13</v>
      </c>
      <c r="D4" s="6">
        <v>78656</v>
      </c>
      <c r="E4" s="8">
        <f t="shared" ref="E4:E52" si="1">IF(D4&lt;38000,4*22*9,0)</f>
        <v>0</v>
      </c>
      <c r="F4" s="8">
        <f t="shared" ref="F4:F52" si="2">IF(D4&lt;45000,5*22*9,0)</f>
        <v>0</v>
      </c>
      <c r="G4" s="8">
        <f t="shared" si="0"/>
        <v>0</v>
      </c>
      <c r="H4" s="8"/>
      <c r="I4" s="8"/>
    </row>
    <row r="5" spans="1:9" ht="12.75" customHeight="1">
      <c r="A5" s="3" t="s">
        <v>14</v>
      </c>
      <c r="B5" s="4" t="s">
        <v>15</v>
      </c>
      <c r="C5" s="5" t="s">
        <v>11</v>
      </c>
      <c r="D5" s="6">
        <v>94697</v>
      </c>
      <c r="E5" s="8">
        <f t="shared" si="1"/>
        <v>0</v>
      </c>
      <c r="F5" s="8">
        <f t="shared" si="2"/>
        <v>0</v>
      </c>
      <c r="G5" s="8">
        <f t="shared" si="0"/>
        <v>0</v>
      </c>
      <c r="H5" s="8"/>
      <c r="I5" s="8"/>
    </row>
    <row r="6" spans="1:9" ht="12.75" customHeight="1">
      <c r="A6" s="3" t="s">
        <v>16</v>
      </c>
      <c r="B6" s="4" t="s">
        <v>15</v>
      </c>
      <c r="C6" s="5" t="s">
        <v>11</v>
      </c>
      <c r="D6" s="6">
        <v>35220</v>
      </c>
      <c r="E6" s="8">
        <f t="shared" si="1"/>
        <v>792</v>
      </c>
      <c r="F6" s="8">
        <f t="shared" si="2"/>
        <v>990</v>
      </c>
      <c r="G6" s="8">
        <f>IF(OR(D6&lt;36000,C6="Sobresaliente"),35764*75%,IF(AND(D6&lt;45000,C6="Aprobado"),35764*25%,IF(AND(D6&lt;54000,C6="Notable"),35764*50%,0)))</f>
        <v>26823</v>
      </c>
      <c r="H6" s="8"/>
      <c r="I6" s="8"/>
    </row>
    <row r="7" spans="1:9" ht="12.75" customHeight="1">
      <c r="A7" s="3" t="s">
        <v>17</v>
      </c>
      <c r="B7" s="4" t="s">
        <v>15</v>
      </c>
      <c r="C7" s="5" t="s">
        <v>11</v>
      </c>
      <c r="D7" s="6">
        <v>62659</v>
      </c>
      <c r="E7" s="8">
        <f t="shared" si="1"/>
        <v>0</v>
      </c>
      <c r="F7" s="8">
        <f t="shared" si="2"/>
        <v>0</v>
      </c>
      <c r="G7" s="8">
        <f t="shared" ref="G7:G52" si="3">IF(OR(D7&lt;36000,C7="Sobresaliente"),35764*75%,IF(AND(D7&lt;45000,C7="Aprobado"),35764*25%,IF(AND(D7&lt;54000,C7="Notable"),35764*50%,0)))</f>
        <v>0</v>
      </c>
      <c r="H7" s="8"/>
      <c r="I7" s="8"/>
    </row>
    <row r="8" spans="1:9" ht="12.75" customHeight="1">
      <c r="A8" s="3" t="s">
        <v>18</v>
      </c>
      <c r="B8" s="4" t="s">
        <v>15</v>
      </c>
      <c r="C8" s="5" t="s">
        <v>19</v>
      </c>
      <c r="D8" s="6">
        <v>37102</v>
      </c>
      <c r="E8" s="8">
        <f t="shared" si="1"/>
        <v>792</v>
      </c>
      <c r="F8" s="8">
        <f t="shared" si="2"/>
        <v>990</v>
      </c>
      <c r="G8" s="8">
        <f t="shared" si="3"/>
        <v>26823</v>
      </c>
      <c r="H8" s="8"/>
      <c r="I8" s="8"/>
    </row>
    <row r="9" spans="1:9" ht="12.75" customHeight="1">
      <c r="A9" s="3" t="s">
        <v>20</v>
      </c>
      <c r="B9" s="4" t="s">
        <v>10</v>
      </c>
      <c r="C9" s="5" t="s">
        <v>11</v>
      </c>
      <c r="D9" s="6">
        <v>32186</v>
      </c>
      <c r="E9" s="8">
        <f t="shared" si="1"/>
        <v>792</v>
      </c>
      <c r="F9" s="8">
        <f t="shared" si="2"/>
        <v>990</v>
      </c>
      <c r="G9" s="8">
        <f t="shared" si="3"/>
        <v>26823</v>
      </c>
      <c r="H9" s="8"/>
      <c r="I9" s="8"/>
    </row>
    <row r="10" spans="1:9" ht="12.75" customHeight="1">
      <c r="A10" s="3" t="s">
        <v>21</v>
      </c>
      <c r="B10" s="4" t="s">
        <v>10</v>
      </c>
      <c r="C10" s="5" t="s">
        <v>13</v>
      </c>
      <c r="D10" s="6">
        <v>102123</v>
      </c>
      <c r="E10" s="8">
        <f t="shared" si="1"/>
        <v>0</v>
      </c>
      <c r="F10" s="8">
        <f t="shared" si="2"/>
        <v>0</v>
      </c>
      <c r="G10" s="8">
        <f t="shared" si="3"/>
        <v>0</v>
      </c>
      <c r="H10" s="8"/>
      <c r="I10" s="8"/>
    </row>
    <row r="11" spans="1:9" ht="12.75" customHeight="1">
      <c r="A11" s="3" t="s">
        <v>22</v>
      </c>
      <c r="B11" s="4" t="s">
        <v>10</v>
      </c>
      <c r="C11" s="5" t="s">
        <v>19</v>
      </c>
      <c r="D11" s="6">
        <v>105686</v>
      </c>
      <c r="E11" s="8">
        <f t="shared" si="1"/>
        <v>0</v>
      </c>
      <c r="F11" s="8">
        <f t="shared" si="2"/>
        <v>0</v>
      </c>
      <c r="G11" s="8">
        <f t="shared" si="3"/>
        <v>26823</v>
      </c>
      <c r="H11" s="8"/>
      <c r="I11" s="8"/>
    </row>
    <row r="12" spans="1:9" ht="12.75" customHeight="1">
      <c r="A12" s="3" t="s">
        <v>23</v>
      </c>
      <c r="B12" s="4" t="s">
        <v>15</v>
      </c>
      <c r="C12" s="5" t="s">
        <v>13</v>
      </c>
      <c r="D12" s="6">
        <v>56704</v>
      </c>
      <c r="E12" s="8">
        <f t="shared" si="1"/>
        <v>0</v>
      </c>
      <c r="F12" s="8">
        <f t="shared" si="2"/>
        <v>0</v>
      </c>
      <c r="G12" s="8">
        <f t="shared" si="3"/>
        <v>0</v>
      </c>
      <c r="H12" s="8"/>
      <c r="I12" s="8"/>
    </row>
    <row r="13" spans="1:9" ht="12.75" customHeight="1">
      <c r="A13" s="3" t="s">
        <v>24</v>
      </c>
      <c r="B13" s="4" t="s">
        <v>15</v>
      </c>
      <c r="C13" s="5" t="s">
        <v>11</v>
      </c>
      <c r="D13" s="6">
        <v>100731</v>
      </c>
      <c r="E13" s="8">
        <f t="shared" si="1"/>
        <v>0</v>
      </c>
      <c r="F13" s="8">
        <f t="shared" si="2"/>
        <v>0</v>
      </c>
      <c r="G13" s="8">
        <f t="shared" si="3"/>
        <v>0</v>
      </c>
      <c r="H13" s="8"/>
      <c r="I13" s="8"/>
    </row>
    <row r="14" spans="1:9" ht="12.75" customHeight="1">
      <c r="A14" s="3" t="s">
        <v>25</v>
      </c>
      <c r="B14" s="4" t="s">
        <v>10</v>
      </c>
      <c r="C14" s="5" t="s">
        <v>13</v>
      </c>
      <c r="D14" s="6">
        <v>38970</v>
      </c>
      <c r="E14" s="8">
        <f t="shared" si="1"/>
        <v>0</v>
      </c>
      <c r="F14" s="8">
        <f t="shared" si="2"/>
        <v>990</v>
      </c>
      <c r="G14" s="8">
        <f t="shared" si="3"/>
        <v>8941</v>
      </c>
      <c r="H14" s="8"/>
      <c r="I14" s="8"/>
    </row>
    <row r="15" spans="1:9" ht="12.75" customHeight="1">
      <c r="A15" s="3" t="s">
        <v>26</v>
      </c>
      <c r="B15" s="4" t="s">
        <v>10</v>
      </c>
      <c r="C15" s="5" t="s">
        <v>11</v>
      </c>
      <c r="D15" s="6">
        <v>88500</v>
      </c>
      <c r="E15" s="8">
        <f t="shared" si="1"/>
        <v>0</v>
      </c>
      <c r="F15" s="8">
        <f t="shared" si="2"/>
        <v>0</v>
      </c>
      <c r="G15" s="8">
        <f t="shared" si="3"/>
        <v>0</v>
      </c>
      <c r="H15" s="8"/>
      <c r="I15" s="8"/>
    </row>
    <row r="16" spans="1:9" ht="12.75" customHeight="1">
      <c r="A16" s="3" t="s">
        <v>27</v>
      </c>
      <c r="B16" s="4" t="s">
        <v>10</v>
      </c>
      <c r="C16" s="5" t="s">
        <v>13</v>
      </c>
      <c r="D16" s="6">
        <v>71128</v>
      </c>
      <c r="E16" s="8">
        <f t="shared" si="1"/>
        <v>0</v>
      </c>
      <c r="F16" s="8">
        <f t="shared" si="2"/>
        <v>0</v>
      </c>
      <c r="G16" s="8">
        <f t="shared" si="3"/>
        <v>0</v>
      </c>
      <c r="H16" s="8"/>
      <c r="I16" s="8"/>
    </row>
    <row r="17" spans="1:9" ht="12.75" customHeight="1">
      <c r="A17" s="3" t="s">
        <v>28</v>
      </c>
      <c r="B17" s="4" t="s">
        <v>15</v>
      </c>
      <c r="C17" s="5" t="s">
        <v>13</v>
      </c>
      <c r="D17" s="6">
        <v>70787</v>
      </c>
      <c r="E17" s="8">
        <f t="shared" si="1"/>
        <v>0</v>
      </c>
      <c r="F17" s="8">
        <f t="shared" si="2"/>
        <v>0</v>
      </c>
      <c r="G17" s="8">
        <f t="shared" si="3"/>
        <v>0</v>
      </c>
      <c r="H17" s="8"/>
      <c r="I17" s="8"/>
    </row>
    <row r="18" spans="1:9" ht="12.75" customHeight="1">
      <c r="A18" s="3" t="s">
        <v>29</v>
      </c>
      <c r="B18" s="4" t="s">
        <v>15</v>
      </c>
      <c r="C18" s="5" t="s">
        <v>19</v>
      </c>
      <c r="D18" s="6">
        <v>41796</v>
      </c>
      <c r="E18" s="8">
        <f t="shared" si="1"/>
        <v>0</v>
      </c>
      <c r="F18" s="8">
        <f t="shared" si="2"/>
        <v>990</v>
      </c>
      <c r="G18" s="8">
        <f t="shared" si="3"/>
        <v>26823</v>
      </c>
      <c r="H18" s="8"/>
      <c r="I18" s="8"/>
    </row>
    <row r="19" spans="1:9" ht="12.75" customHeight="1">
      <c r="A19" s="3" t="s">
        <v>30</v>
      </c>
      <c r="B19" s="4" t="s">
        <v>15</v>
      </c>
      <c r="C19" s="5" t="s">
        <v>11</v>
      </c>
      <c r="D19" s="6">
        <v>90489</v>
      </c>
      <c r="E19" s="8">
        <f t="shared" si="1"/>
        <v>0</v>
      </c>
      <c r="F19" s="8">
        <f t="shared" si="2"/>
        <v>0</v>
      </c>
      <c r="G19" s="8">
        <f t="shared" si="3"/>
        <v>0</v>
      </c>
      <c r="H19" s="8"/>
      <c r="I19" s="8"/>
    </row>
    <row r="20" spans="1:9" ht="12.75" customHeight="1">
      <c r="A20" s="3" t="s">
        <v>31</v>
      </c>
      <c r="B20" s="4" t="s">
        <v>15</v>
      </c>
      <c r="C20" s="5" t="s">
        <v>11</v>
      </c>
      <c r="D20" s="6">
        <v>84143</v>
      </c>
      <c r="E20" s="8">
        <f t="shared" si="1"/>
        <v>0</v>
      </c>
      <c r="F20" s="8">
        <f t="shared" si="2"/>
        <v>0</v>
      </c>
      <c r="G20" s="8">
        <f t="shared" si="3"/>
        <v>0</v>
      </c>
      <c r="H20" s="8"/>
      <c r="I20" s="8"/>
    </row>
    <row r="21" spans="1:9" ht="12.75" customHeight="1">
      <c r="A21" s="3" t="s">
        <v>32</v>
      </c>
      <c r="B21" s="4" t="s">
        <v>10</v>
      </c>
      <c r="C21" s="5" t="s">
        <v>11</v>
      </c>
      <c r="D21" s="6">
        <v>71099</v>
      </c>
      <c r="E21" s="8">
        <f t="shared" si="1"/>
        <v>0</v>
      </c>
      <c r="F21" s="8">
        <f t="shared" si="2"/>
        <v>0</v>
      </c>
      <c r="G21" s="8">
        <f t="shared" si="3"/>
        <v>0</v>
      </c>
      <c r="H21" s="8"/>
      <c r="I21" s="8"/>
    </row>
    <row r="22" spans="1:9" ht="12.75" customHeight="1">
      <c r="A22" s="3" t="s">
        <v>33</v>
      </c>
      <c r="B22" s="4" t="s">
        <v>10</v>
      </c>
      <c r="C22" s="5" t="s">
        <v>19</v>
      </c>
      <c r="D22" s="6">
        <v>75573</v>
      </c>
      <c r="E22" s="8">
        <f t="shared" si="1"/>
        <v>0</v>
      </c>
      <c r="F22" s="8">
        <f t="shared" si="2"/>
        <v>0</v>
      </c>
      <c r="G22" s="8">
        <f t="shared" si="3"/>
        <v>26823</v>
      </c>
      <c r="H22" s="8"/>
      <c r="I22" s="8"/>
    </row>
    <row r="23" spans="1:9" ht="12.75" customHeight="1">
      <c r="A23" s="3" t="s">
        <v>34</v>
      </c>
      <c r="B23" s="4" t="s">
        <v>10</v>
      </c>
      <c r="C23" s="5" t="s">
        <v>11</v>
      </c>
      <c r="D23" s="6">
        <v>51976</v>
      </c>
      <c r="E23" s="8">
        <f t="shared" si="1"/>
        <v>0</v>
      </c>
      <c r="F23" s="8">
        <f t="shared" si="2"/>
        <v>0</v>
      </c>
      <c r="G23" s="8">
        <f t="shared" si="3"/>
        <v>17882</v>
      </c>
      <c r="H23" s="8"/>
      <c r="I23" s="8"/>
    </row>
    <row r="24" spans="1:9" ht="12.75" customHeight="1">
      <c r="A24" s="3" t="s">
        <v>35</v>
      </c>
      <c r="B24" s="4" t="s">
        <v>15</v>
      </c>
      <c r="C24" s="5" t="s">
        <v>11</v>
      </c>
      <c r="D24" s="6">
        <v>84502</v>
      </c>
      <c r="E24" s="8">
        <f t="shared" si="1"/>
        <v>0</v>
      </c>
      <c r="F24" s="8">
        <f t="shared" si="2"/>
        <v>0</v>
      </c>
      <c r="G24" s="8">
        <f t="shared" si="3"/>
        <v>0</v>
      </c>
      <c r="H24" s="8"/>
      <c r="I24" s="8"/>
    </row>
    <row r="25" spans="1:9" ht="12.75" customHeight="1">
      <c r="A25" s="3" t="s">
        <v>36</v>
      </c>
      <c r="B25" s="4" t="s">
        <v>15</v>
      </c>
      <c r="C25" s="5" t="s">
        <v>11</v>
      </c>
      <c r="D25" s="6">
        <v>105822</v>
      </c>
      <c r="E25" s="8">
        <f t="shared" si="1"/>
        <v>0</v>
      </c>
      <c r="F25" s="8">
        <f t="shared" si="2"/>
        <v>0</v>
      </c>
      <c r="G25" s="8">
        <f t="shared" si="3"/>
        <v>0</v>
      </c>
      <c r="H25" s="8"/>
      <c r="I25" s="8"/>
    </row>
    <row r="26" spans="1:9" ht="12.75" customHeight="1">
      <c r="A26" s="3" t="s">
        <v>37</v>
      </c>
      <c r="B26" s="4" t="s">
        <v>15</v>
      </c>
      <c r="C26" s="5" t="s">
        <v>13</v>
      </c>
      <c r="D26" s="6">
        <v>36940</v>
      </c>
      <c r="E26" s="8">
        <f t="shared" si="1"/>
        <v>792</v>
      </c>
      <c r="F26" s="8">
        <f t="shared" si="2"/>
        <v>990</v>
      </c>
      <c r="G26" s="8">
        <f t="shared" si="3"/>
        <v>8941</v>
      </c>
      <c r="H26" s="8"/>
      <c r="I26" s="8"/>
    </row>
    <row r="27" spans="1:9" ht="12.75" customHeight="1">
      <c r="A27" s="3" t="s">
        <v>38</v>
      </c>
      <c r="B27" s="4" t="s">
        <v>15</v>
      </c>
      <c r="C27" s="5" t="s">
        <v>11</v>
      </c>
      <c r="D27" s="6">
        <v>94168</v>
      </c>
      <c r="E27" s="8">
        <f t="shared" si="1"/>
        <v>0</v>
      </c>
      <c r="F27" s="8">
        <f t="shared" si="2"/>
        <v>0</v>
      </c>
      <c r="G27" s="8">
        <f t="shared" si="3"/>
        <v>0</v>
      </c>
      <c r="H27" s="8"/>
      <c r="I27" s="8"/>
    </row>
    <row r="28" spans="1:9" ht="12.75" customHeight="1">
      <c r="A28" s="3" t="s">
        <v>39</v>
      </c>
      <c r="B28" s="4" t="s">
        <v>15</v>
      </c>
      <c r="C28" s="5" t="s">
        <v>11</v>
      </c>
      <c r="D28" s="6">
        <v>89430</v>
      </c>
      <c r="E28" s="8">
        <f t="shared" si="1"/>
        <v>0</v>
      </c>
      <c r="F28" s="8">
        <f t="shared" si="2"/>
        <v>0</v>
      </c>
      <c r="G28" s="8">
        <f t="shared" si="3"/>
        <v>0</v>
      </c>
      <c r="H28" s="8"/>
      <c r="I28" s="8"/>
    </row>
    <row r="29" spans="1:9" ht="12.75" customHeight="1">
      <c r="A29" s="3" t="s">
        <v>40</v>
      </c>
      <c r="B29" s="4" t="s">
        <v>10</v>
      </c>
      <c r="C29" s="5" t="s">
        <v>13</v>
      </c>
      <c r="D29" s="6">
        <v>78611</v>
      </c>
      <c r="E29" s="8">
        <f t="shared" si="1"/>
        <v>0</v>
      </c>
      <c r="F29" s="8">
        <f t="shared" si="2"/>
        <v>0</v>
      </c>
      <c r="G29" s="8">
        <f t="shared" si="3"/>
        <v>0</v>
      </c>
      <c r="H29" s="8"/>
      <c r="I29" s="8"/>
    </row>
    <row r="30" spans="1:9" ht="12.75" customHeight="1">
      <c r="A30" s="3" t="s">
        <v>41</v>
      </c>
      <c r="B30" s="4" t="s">
        <v>15</v>
      </c>
      <c r="C30" s="5" t="s">
        <v>11</v>
      </c>
      <c r="D30" s="6">
        <v>87686</v>
      </c>
      <c r="E30" s="8">
        <f t="shared" si="1"/>
        <v>0</v>
      </c>
      <c r="F30" s="8">
        <f t="shared" si="2"/>
        <v>0</v>
      </c>
      <c r="G30" s="8">
        <f t="shared" si="3"/>
        <v>0</v>
      </c>
      <c r="H30" s="8"/>
      <c r="I30" s="8"/>
    </row>
    <row r="31" spans="1:9" ht="12.75" customHeight="1">
      <c r="A31" s="3" t="s">
        <v>42</v>
      </c>
      <c r="B31" s="4" t="s">
        <v>15</v>
      </c>
      <c r="C31" s="5" t="s">
        <v>19</v>
      </c>
      <c r="D31" s="6">
        <v>106285</v>
      </c>
      <c r="E31" s="8">
        <f t="shared" si="1"/>
        <v>0</v>
      </c>
      <c r="F31" s="8">
        <f t="shared" si="2"/>
        <v>0</v>
      </c>
      <c r="G31" s="8">
        <f t="shared" si="3"/>
        <v>26823</v>
      </c>
      <c r="H31" s="8"/>
      <c r="I31" s="8"/>
    </row>
    <row r="32" spans="1:9" ht="12.75" customHeight="1">
      <c r="A32" s="3" t="s">
        <v>43</v>
      </c>
      <c r="B32" s="4" t="s">
        <v>10</v>
      </c>
      <c r="C32" s="5" t="s">
        <v>11</v>
      </c>
      <c r="D32" s="6">
        <v>50954</v>
      </c>
      <c r="E32" s="8">
        <f t="shared" si="1"/>
        <v>0</v>
      </c>
      <c r="F32" s="8">
        <f t="shared" si="2"/>
        <v>0</v>
      </c>
      <c r="G32" s="8">
        <f t="shared" si="3"/>
        <v>17882</v>
      </c>
      <c r="H32" s="8"/>
      <c r="I32" s="8"/>
    </row>
    <row r="33" spans="1:9" ht="12.75" customHeight="1">
      <c r="A33" s="3" t="s">
        <v>44</v>
      </c>
      <c r="B33" s="4" t="s">
        <v>10</v>
      </c>
      <c r="C33" s="5" t="s">
        <v>11</v>
      </c>
      <c r="D33" s="6">
        <v>38170</v>
      </c>
      <c r="E33" s="8">
        <f t="shared" si="1"/>
        <v>0</v>
      </c>
      <c r="F33" s="8">
        <f t="shared" si="2"/>
        <v>990</v>
      </c>
      <c r="G33" s="8">
        <f t="shared" si="3"/>
        <v>17882</v>
      </c>
      <c r="H33" s="8"/>
      <c r="I33" s="8"/>
    </row>
    <row r="34" spans="1:9" ht="12.75" customHeight="1">
      <c r="A34" s="3" t="s">
        <v>45</v>
      </c>
      <c r="B34" s="4" t="s">
        <v>15</v>
      </c>
      <c r="C34" s="5" t="s">
        <v>13</v>
      </c>
      <c r="D34" s="6">
        <v>63047</v>
      </c>
      <c r="E34" s="8">
        <f t="shared" si="1"/>
        <v>0</v>
      </c>
      <c r="F34" s="8">
        <f t="shared" si="2"/>
        <v>0</v>
      </c>
      <c r="G34" s="8">
        <f t="shared" si="3"/>
        <v>0</v>
      </c>
      <c r="H34" s="8"/>
      <c r="I34" s="8"/>
    </row>
    <row r="35" spans="1:9" ht="12.75" customHeight="1">
      <c r="A35" s="3" t="s">
        <v>46</v>
      </c>
      <c r="B35" s="4" t="s">
        <v>10</v>
      </c>
      <c r="C35" s="5" t="s">
        <v>19</v>
      </c>
      <c r="D35" s="6">
        <v>84400</v>
      </c>
      <c r="E35" s="8">
        <f t="shared" si="1"/>
        <v>0</v>
      </c>
      <c r="F35" s="8">
        <f t="shared" si="2"/>
        <v>0</v>
      </c>
      <c r="G35" s="8">
        <f t="shared" si="3"/>
        <v>26823</v>
      </c>
      <c r="H35" s="8"/>
      <c r="I35" s="8"/>
    </row>
    <row r="36" spans="1:9" ht="12.75" customHeight="1">
      <c r="A36" s="3" t="s">
        <v>47</v>
      </c>
      <c r="B36" s="4" t="s">
        <v>10</v>
      </c>
      <c r="C36" s="5" t="s">
        <v>11</v>
      </c>
      <c r="D36" s="6">
        <v>30750</v>
      </c>
      <c r="E36" s="8">
        <f t="shared" si="1"/>
        <v>792</v>
      </c>
      <c r="F36" s="8">
        <f t="shared" si="2"/>
        <v>990</v>
      </c>
      <c r="G36" s="8">
        <f t="shared" si="3"/>
        <v>26823</v>
      </c>
      <c r="H36" s="8"/>
      <c r="I36" s="8"/>
    </row>
    <row r="37" spans="1:9" ht="12.75" customHeight="1">
      <c r="A37" s="3" t="s">
        <v>48</v>
      </c>
      <c r="B37" s="4" t="s">
        <v>10</v>
      </c>
      <c r="C37" s="5" t="s">
        <v>13</v>
      </c>
      <c r="D37" s="6">
        <v>32946</v>
      </c>
      <c r="E37" s="8">
        <f t="shared" si="1"/>
        <v>792</v>
      </c>
      <c r="F37" s="8">
        <f t="shared" si="2"/>
        <v>990</v>
      </c>
      <c r="G37" s="8">
        <f t="shared" si="3"/>
        <v>26823</v>
      </c>
      <c r="H37" s="8"/>
      <c r="I37" s="8"/>
    </row>
    <row r="38" spans="1:9" ht="12.75" customHeight="1">
      <c r="A38" s="3" t="s">
        <v>49</v>
      </c>
      <c r="B38" s="4" t="s">
        <v>15</v>
      </c>
      <c r="C38" s="5" t="s">
        <v>11</v>
      </c>
      <c r="D38" s="6">
        <v>88517</v>
      </c>
      <c r="E38" s="8">
        <f t="shared" si="1"/>
        <v>0</v>
      </c>
      <c r="F38" s="8">
        <f t="shared" si="2"/>
        <v>0</v>
      </c>
      <c r="G38" s="8">
        <f t="shared" si="3"/>
        <v>0</v>
      </c>
      <c r="H38" s="8"/>
      <c r="I38" s="8"/>
    </row>
    <row r="39" spans="1:9" ht="12.75" customHeight="1">
      <c r="A39" s="3" t="s">
        <v>50</v>
      </c>
      <c r="B39" s="4" t="s">
        <v>15</v>
      </c>
      <c r="C39" s="5" t="s">
        <v>11</v>
      </c>
      <c r="D39" s="6">
        <v>77409</v>
      </c>
      <c r="E39" s="8">
        <f t="shared" si="1"/>
        <v>0</v>
      </c>
      <c r="F39" s="8">
        <f t="shared" si="2"/>
        <v>0</v>
      </c>
      <c r="G39" s="8">
        <f t="shared" si="3"/>
        <v>0</v>
      </c>
      <c r="H39" s="8"/>
      <c r="I39" s="8"/>
    </row>
    <row r="40" spans="1:9" ht="12.75" customHeight="1">
      <c r="A40" s="3" t="s">
        <v>51</v>
      </c>
      <c r="B40" s="4" t="s">
        <v>10</v>
      </c>
      <c r="C40" s="5" t="s">
        <v>13</v>
      </c>
      <c r="D40" s="6">
        <v>64913</v>
      </c>
      <c r="E40" s="8">
        <f t="shared" si="1"/>
        <v>0</v>
      </c>
      <c r="F40" s="8">
        <f t="shared" si="2"/>
        <v>0</v>
      </c>
      <c r="G40" s="8">
        <f t="shared" si="3"/>
        <v>0</v>
      </c>
      <c r="H40" s="8"/>
      <c r="I40" s="8"/>
    </row>
    <row r="41" spans="1:9" ht="12.75" customHeight="1">
      <c r="A41" s="3" t="s">
        <v>52</v>
      </c>
      <c r="B41" s="4" t="s">
        <v>15</v>
      </c>
      <c r="C41" s="5" t="s">
        <v>11</v>
      </c>
      <c r="D41" s="6">
        <v>51429</v>
      </c>
      <c r="E41" s="8">
        <f t="shared" si="1"/>
        <v>0</v>
      </c>
      <c r="F41" s="8">
        <f t="shared" si="2"/>
        <v>0</v>
      </c>
      <c r="G41" s="8">
        <f t="shared" si="3"/>
        <v>17882</v>
      </c>
      <c r="H41" s="8"/>
      <c r="I41" s="8"/>
    </row>
    <row r="42" spans="1:9" ht="12.75" customHeight="1">
      <c r="A42" s="3" t="s">
        <v>53</v>
      </c>
      <c r="B42" s="4" t="s">
        <v>15</v>
      </c>
      <c r="C42" s="5" t="s">
        <v>13</v>
      </c>
      <c r="D42" s="6">
        <v>96437</v>
      </c>
      <c r="E42" s="8">
        <f t="shared" si="1"/>
        <v>0</v>
      </c>
      <c r="F42" s="8">
        <f t="shared" si="2"/>
        <v>0</v>
      </c>
      <c r="G42" s="8">
        <f t="shared" si="3"/>
        <v>0</v>
      </c>
      <c r="H42" s="8"/>
      <c r="I42" s="8"/>
    </row>
    <row r="43" spans="1:9" ht="12.75" customHeight="1">
      <c r="A43" s="3" t="s">
        <v>54</v>
      </c>
      <c r="B43" s="4" t="s">
        <v>10</v>
      </c>
      <c r="C43" s="5" t="s">
        <v>11</v>
      </c>
      <c r="D43" s="6">
        <v>77318</v>
      </c>
      <c r="E43" s="8">
        <f t="shared" si="1"/>
        <v>0</v>
      </c>
      <c r="F43" s="8">
        <f t="shared" si="2"/>
        <v>0</v>
      </c>
      <c r="G43" s="8">
        <f t="shared" si="3"/>
        <v>0</v>
      </c>
      <c r="H43" s="8"/>
      <c r="I43" s="8"/>
    </row>
    <row r="44" spans="1:9" ht="12.75" customHeight="1">
      <c r="A44" s="3" t="s">
        <v>55</v>
      </c>
      <c r="B44" s="4" t="s">
        <v>15</v>
      </c>
      <c r="C44" s="5" t="s">
        <v>13</v>
      </c>
      <c r="D44" s="6">
        <v>81740</v>
      </c>
      <c r="E44" s="8">
        <f t="shared" si="1"/>
        <v>0</v>
      </c>
      <c r="F44" s="8">
        <f t="shared" si="2"/>
        <v>0</v>
      </c>
      <c r="G44" s="8">
        <f t="shared" si="3"/>
        <v>0</v>
      </c>
      <c r="H44" s="8"/>
      <c r="I44" s="8"/>
    </row>
    <row r="45" spans="1:9" ht="12.75" customHeight="1">
      <c r="A45" s="3" t="s">
        <v>56</v>
      </c>
      <c r="B45" s="4" t="s">
        <v>15</v>
      </c>
      <c r="C45" s="5" t="s">
        <v>13</v>
      </c>
      <c r="D45" s="6">
        <v>33985</v>
      </c>
      <c r="E45" s="8">
        <f t="shared" si="1"/>
        <v>792</v>
      </c>
      <c r="F45" s="8">
        <f t="shared" si="2"/>
        <v>990</v>
      </c>
      <c r="G45" s="8">
        <f t="shared" si="3"/>
        <v>26823</v>
      </c>
      <c r="H45" s="8"/>
      <c r="I45" s="8"/>
    </row>
    <row r="46" spans="1:9" ht="12.75" customHeight="1">
      <c r="A46" s="3" t="s">
        <v>57</v>
      </c>
      <c r="B46" s="4" t="s">
        <v>10</v>
      </c>
      <c r="C46" s="5" t="s">
        <v>19</v>
      </c>
      <c r="D46" s="6">
        <v>97816</v>
      </c>
      <c r="E46" s="8">
        <f t="shared" si="1"/>
        <v>0</v>
      </c>
      <c r="F46" s="8">
        <f t="shared" si="2"/>
        <v>0</v>
      </c>
      <c r="G46" s="8">
        <f t="shared" si="3"/>
        <v>26823</v>
      </c>
      <c r="H46" s="8"/>
      <c r="I46" s="8"/>
    </row>
    <row r="47" spans="1:9" ht="12.75" customHeight="1">
      <c r="A47" s="3" t="s">
        <v>58</v>
      </c>
      <c r="B47" s="4" t="s">
        <v>10</v>
      </c>
      <c r="C47" s="5" t="s">
        <v>11</v>
      </c>
      <c r="D47" s="6">
        <v>37262</v>
      </c>
      <c r="E47" s="8">
        <f t="shared" si="1"/>
        <v>792</v>
      </c>
      <c r="F47" s="8">
        <f t="shared" si="2"/>
        <v>990</v>
      </c>
      <c r="G47" s="8">
        <f t="shared" si="3"/>
        <v>17882</v>
      </c>
      <c r="H47" s="8"/>
      <c r="I47" s="8"/>
    </row>
    <row r="48" spans="1:9" ht="12.75" customHeight="1">
      <c r="A48" s="3" t="s">
        <v>59</v>
      </c>
      <c r="B48" s="4" t="s">
        <v>15</v>
      </c>
      <c r="C48" s="5" t="s">
        <v>11</v>
      </c>
      <c r="D48" s="6">
        <v>30941</v>
      </c>
      <c r="E48" s="8">
        <f t="shared" si="1"/>
        <v>792</v>
      </c>
      <c r="F48" s="8">
        <f t="shared" si="2"/>
        <v>990</v>
      </c>
      <c r="G48" s="8">
        <f t="shared" si="3"/>
        <v>26823</v>
      </c>
      <c r="H48" s="8"/>
      <c r="I48" s="8"/>
    </row>
    <row r="49" spans="1:9" ht="12.75" customHeight="1">
      <c r="A49" s="3" t="s">
        <v>60</v>
      </c>
      <c r="B49" s="4" t="s">
        <v>10</v>
      </c>
      <c r="C49" s="5" t="s">
        <v>13</v>
      </c>
      <c r="D49" s="6">
        <v>56271</v>
      </c>
      <c r="E49" s="8">
        <f t="shared" si="1"/>
        <v>0</v>
      </c>
      <c r="F49" s="8">
        <f t="shared" si="2"/>
        <v>0</v>
      </c>
      <c r="G49" s="8">
        <f t="shared" si="3"/>
        <v>0</v>
      </c>
      <c r="H49" s="8"/>
      <c r="I49" s="8"/>
    </row>
    <row r="50" spans="1:9" ht="12.75" customHeight="1">
      <c r="A50" s="3" t="s">
        <v>61</v>
      </c>
      <c r="B50" s="4" t="s">
        <v>10</v>
      </c>
      <c r="C50" s="5" t="s">
        <v>11</v>
      </c>
      <c r="D50" s="6">
        <v>52511</v>
      </c>
      <c r="E50" s="8">
        <f t="shared" si="1"/>
        <v>0</v>
      </c>
      <c r="F50" s="8">
        <f t="shared" si="2"/>
        <v>0</v>
      </c>
      <c r="G50" s="8">
        <f t="shared" si="3"/>
        <v>17882</v>
      </c>
      <c r="H50" s="8"/>
      <c r="I50" s="8"/>
    </row>
    <row r="51" spans="1:9" ht="12.75" customHeight="1">
      <c r="A51" s="3" t="s">
        <v>62</v>
      </c>
      <c r="B51" s="4" t="s">
        <v>15</v>
      </c>
      <c r="C51" s="5" t="s">
        <v>19</v>
      </c>
      <c r="D51" s="6">
        <v>58814</v>
      </c>
      <c r="E51" s="8">
        <f t="shared" si="1"/>
        <v>0</v>
      </c>
      <c r="F51" s="8">
        <f t="shared" si="2"/>
        <v>0</v>
      </c>
      <c r="G51" s="8">
        <f t="shared" si="3"/>
        <v>26823</v>
      </c>
      <c r="H51" s="8"/>
      <c r="I51" s="8"/>
    </row>
    <row r="52" spans="1:9" ht="12.75" customHeight="1">
      <c r="A52" s="3" t="s">
        <v>63</v>
      </c>
      <c r="B52" s="4" t="s">
        <v>15</v>
      </c>
      <c r="C52" s="5" t="s">
        <v>13</v>
      </c>
      <c r="D52" s="6">
        <v>98439</v>
      </c>
      <c r="E52" s="8">
        <f t="shared" si="1"/>
        <v>0</v>
      </c>
      <c r="F52" s="8">
        <f t="shared" si="2"/>
        <v>0</v>
      </c>
      <c r="G52" s="8">
        <f t="shared" si="3"/>
        <v>0</v>
      </c>
      <c r="H52" s="8"/>
      <c r="I52" s="8"/>
    </row>
  </sheetData>
  <pageMargins left="0.74803149606299213" right="0.74803149606299213" top="1.2791338582677163" bottom="1.2791338582677163" header="0.98385826771653528" footer="0.98385826771653528"/>
  <pageSetup paperSize="9" fitToWidth="0" fitToHeight="0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Paques Bravo</dc:title>
  <dc:creator>Francisco José Vidal Salvá</dc:creator>
  <cp:lastModifiedBy>usuario</cp:lastModifiedBy>
  <dcterms:created xsi:type="dcterms:W3CDTF">2010-09-14T12:01:00Z</dcterms:created>
  <dcterms:modified xsi:type="dcterms:W3CDTF">2026-06-16T17:04:53Z</dcterms:modified>
</cp:coreProperties>
</file>