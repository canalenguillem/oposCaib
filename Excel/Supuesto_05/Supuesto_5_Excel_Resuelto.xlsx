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STOS" sheetId="1" state="visible" r:id="rId3"/>
    <sheet name="Resume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<sst xmlns="http://schemas.openxmlformats.org/spreadsheetml/2006/main" count="87" uniqueCount="23">
  <si>
    <t xml:space="preserve">Fecha</t>
  </si>
  <si>
    <t xml:space="preserve">Concepto</t>
  </si>
  <si>
    <t xml:space="preserve">Pagador</t>
  </si>
  <si>
    <t xml:space="preserve">IMPORTE</t>
  </si>
  <si>
    <t xml:space="preserve">Niños</t>
  </si>
  <si>
    <t xml:space="preserve">Lorenzo</t>
  </si>
  <si>
    <t xml:space="preserve">Diversos</t>
  </si>
  <si>
    <t xml:space="preserve">Julia</t>
  </si>
  <si>
    <t xml:space="preserve">Vivienda</t>
  </si>
  <si>
    <t xml:space="preserve">Seguros</t>
  </si>
  <si>
    <t xml:space="preserve">Entretenimiento</t>
  </si>
  <si>
    <t xml:space="preserve">Alquileres</t>
  </si>
  <si>
    <t xml:space="preserve">Vehículo</t>
  </si>
  <si>
    <t xml:space="preserve">Alimentación</t>
  </si>
  <si>
    <t xml:space="preserve">Impuestos</t>
  </si>
  <si>
    <t xml:space="preserve">Ropa</t>
  </si>
  <si>
    <t xml:space="preserve">Mutua</t>
  </si>
  <si>
    <t xml:space="preserve">CONCEPTO</t>
  </si>
  <si>
    <t xml:space="preserve">TOTAL GASTOS</t>
  </si>
  <si>
    <t xml:space="preserve">Nº DE ADQUISICIONES</t>
  </si>
  <si>
    <t xml:space="preserve">GASTO MEDIO</t>
  </si>
  <si>
    <t xml:space="preserve">LORENZO</t>
  </si>
  <si>
    <t xml:space="preserve">JULIA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</si>
</sst>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"/>
    <numFmt numFmtId="166" formatCode="#,##0.00&quot; €&quot;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9DC3E6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45658</v>
      </c>
      <c r="B2" s="3" t="s">
        <v>4</v>
      </c>
      <c r="C2" s="3" t="s">
        <v>5</v>
      </c>
      <c r="D2" s="4" t="n">
        <v>34</v>
      </c>
    </row>
    <row r="3" customFormat="false" ht="15" hidden="false" customHeight="false" outlineLevel="0" collapsed="false">
      <c r="A3" s="2" t="n">
        <v>45659</v>
      </c>
      <c r="B3" s="3" t="s">
        <v>6</v>
      </c>
      <c r="C3" s="3" t="s">
        <v>5</v>
      </c>
      <c r="D3" s="4" t="n">
        <v>56</v>
      </c>
    </row>
    <row r="4" customFormat="false" ht="15" hidden="false" customHeight="false" outlineLevel="0" collapsed="false">
      <c r="A4" s="2" t="n">
        <v>45660</v>
      </c>
      <c r="B4" s="3" t="s">
        <v>4</v>
      </c>
      <c r="C4" s="3" t="s">
        <v>7</v>
      </c>
      <c r="D4" s="4" t="n">
        <v>11</v>
      </c>
    </row>
    <row r="5" customFormat="false" ht="15" hidden="false" customHeight="false" outlineLevel="0" collapsed="false">
      <c r="A5" s="2" t="n">
        <v>45661</v>
      </c>
      <c r="B5" s="3" t="s">
        <v>6</v>
      </c>
      <c r="C5" s="3" t="s">
        <v>7</v>
      </c>
      <c r="D5" s="4" t="n">
        <v>10</v>
      </c>
    </row>
    <row r="6" customFormat="false" ht="15" hidden="false" customHeight="false" outlineLevel="0" collapsed="false">
      <c r="A6" s="2" t="n">
        <v>45662</v>
      </c>
      <c r="B6" s="3" t="s">
        <v>8</v>
      </c>
      <c r="C6" s="3" t="s">
        <v>5</v>
      </c>
      <c r="D6" s="4" t="n">
        <v>22</v>
      </c>
    </row>
    <row r="7" customFormat="false" ht="15" hidden="false" customHeight="false" outlineLevel="0" collapsed="false">
      <c r="A7" s="2" t="n">
        <v>45663</v>
      </c>
      <c r="B7" s="3" t="s">
        <v>9</v>
      </c>
      <c r="C7" s="3" t="s">
        <v>7</v>
      </c>
      <c r="D7" s="4" t="n">
        <v>90</v>
      </c>
    </row>
    <row r="8" customFormat="false" ht="15" hidden="false" customHeight="false" outlineLevel="0" collapsed="false">
      <c r="A8" s="2" t="n">
        <v>45664</v>
      </c>
      <c r="B8" s="3" t="s">
        <v>10</v>
      </c>
      <c r="C8" s="3" t="s">
        <v>7</v>
      </c>
      <c r="D8" s="4" t="n">
        <v>10</v>
      </c>
    </row>
    <row r="9" customFormat="false" ht="15" hidden="false" customHeight="false" outlineLevel="0" collapsed="false">
      <c r="A9" s="2" t="n">
        <v>45665</v>
      </c>
      <c r="B9" s="3" t="s">
        <v>8</v>
      </c>
      <c r="C9" s="3" t="s">
        <v>7</v>
      </c>
      <c r="D9" s="4" t="n">
        <v>11</v>
      </c>
    </row>
    <row r="10" customFormat="false" ht="15" hidden="false" customHeight="false" outlineLevel="0" collapsed="false">
      <c r="A10" s="2" t="n">
        <v>45666</v>
      </c>
      <c r="B10" s="3" t="s">
        <v>11</v>
      </c>
      <c r="C10" s="3" t="s">
        <v>5</v>
      </c>
      <c r="D10" s="4" t="n">
        <v>55</v>
      </c>
    </row>
    <row r="11" customFormat="false" ht="15" hidden="false" customHeight="false" outlineLevel="0" collapsed="false">
      <c r="A11" s="2" t="n">
        <v>45667</v>
      </c>
      <c r="B11" s="3" t="s">
        <v>12</v>
      </c>
      <c r="C11" s="3" t="s">
        <v>5</v>
      </c>
      <c r="D11" s="4" t="n">
        <v>76</v>
      </c>
    </row>
    <row r="12" customFormat="false" ht="15" hidden="false" customHeight="false" outlineLevel="0" collapsed="false">
      <c r="A12" s="2" t="n">
        <v>45668</v>
      </c>
      <c r="B12" s="3" t="s">
        <v>12</v>
      </c>
      <c r="C12" s="3" t="s">
        <v>7</v>
      </c>
      <c r="D12" s="4" t="n">
        <v>84</v>
      </c>
    </row>
    <row r="13" customFormat="false" ht="15" hidden="false" customHeight="false" outlineLevel="0" collapsed="false">
      <c r="A13" s="2" t="n">
        <v>45669</v>
      </c>
      <c r="B13" s="3" t="s">
        <v>13</v>
      </c>
      <c r="C13" s="3" t="s">
        <v>5</v>
      </c>
      <c r="D13" s="4" t="n">
        <v>34</v>
      </c>
    </row>
    <row r="14" customFormat="false" ht="15" hidden="false" customHeight="false" outlineLevel="0" collapsed="false">
      <c r="A14" s="2" t="n">
        <v>45670</v>
      </c>
      <c r="B14" s="3" t="s">
        <v>11</v>
      </c>
      <c r="C14" s="3" t="s">
        <v>7</v>
      </c>
      <c r="D14" s="4" t="n">
        <v>25</v>
      </c>
    </row>
    <row r="15" customFormat="false" ht="15" hidden="false" customHeight="false" outlineLevel="0" collapsed="false">
      <c r="A15" s="2" t="n">
        <v>45671</v>
      </c>
      <c r="B15" s="3" t="s">
        <v>13</v>
      </c>
      <c r="C15" s="3" t="s">
        <v>7</v>
      </c>
      <c r="D15" s="4" t="n">
        <v>25</v>
      </c>
    </row>
    <row r="16" customFormat="false" ht="15" hidden="false" customHeight="false" outlineLevel="0" collapsed="false">
      <c r="A16" s="2" t="n">
        <v>45672</v>
      </c>
      <c r="B16" s="3" t="s">
        <v>14</v>
      </c>
      <c r="C16" s="3" t="s">
        <v>5</v>
      </c>
      <c r="D16" s="4" t="n">
        <v>12</v>
      </c>
    </row>
    <row r="17" customFormat="false" ht="15" hidden="false" customHeight="false" outlineLevel="0" collapsed="false">
      <c r="A17" s="2" t="n">
        <v>45673</v>
      </c>
      <c r="B17" s="3" t="s">
        <v>9</v>
      </c>
      <c r="C17" s="3" t="s">
        <v>7</v>
      </c>
      <c r="D17" s="4" t="n">
        <v>34</v>
      </c>
    </row>
    <row r="18" customFormat="false" ht="15" hidden="false" customHeight="false" outlineLevel="0" collapsed="false">
      <c r="A18" s="2" t="n">
        <v>45674</v>
      </c>
      <c r="B18" s="3" t="s">
        <v>14</v>
      </c>
      <c r="C18" s="3" t="s">
        <v>7</v>
      </c>
      <c r="D18" s="4" t="n">
        <v>54</v>
      </c>
    </row>
    <row r="19" customFormat="false" ht="15" hidden="false" customHeight="false" outlineLevel="0" collapsed="false">
      <c r="A19" s="2" t="n">
        <v>45675</v>
      </c>
      <c r="B19" s="3" t="s">
        <v>15</v>
      </c>
      <c r="C19" s="3" t="s">
        <v>5</v>
      </c>
      <c r="D19" s="4" t="n">
        <v>71</v>
      </c>
    </row>
    <row r="20" customFormat="false" ht="15" hidden="false" customHeight="false" outlineLevel="0" collapsed="false">
      <c r="A20" s="2" t="n">
        <v>45676</v>
      </c>
      <c r="B20" s="3" t="s">
        <v>16</v>
      </c>
      <c r="C20" s="3" t="s">
        <v>7</v>
      </c>
      <c r="D20" s="4" t="n">
        <v>31</v>
      </c>
    </row>
    <row r="21" customFormat="false" ht="15" hidden="false" customHeight="false" outlineLevel="0" collapsed="false">
      <c r="A21" s="2" t="n">
        <v>45677</v>
      </c>
      <c r="B21" s="3" t="s">
        <v>9</v>
      </c>
      <c r="C21" s="3" t="s">
        <v>5</v>
      </c>
      <c r="D21" s="4" t="n">
        <v>90</v>
      </c>
    </row>
    <row r="22" customFormat="false" ht="15" hidden="false" customHeight="false" outlineLevel="0" collapsed="false">
      <c r="A22" s="2" t="n">
        <v>45678</v>
      </c>
      <c r="B22" s="3" t="s">
        <v>14</v>
      </c>
      <c r="C22" s="3" t="s">
        <v>5</v>
      </c>
      <c r="D22" s="4" t="n">
        <v>80</v>
      </c>
    </row>
    <row r="23" customFormat="false" ht="15" hidden="false" customHeight="false" outlineLevel="0" collapsed="false">
      <c r="A23" s="2" t="n">
        <v>45679</v>
      </c>
      <c r="B23" s="3" t="s">
        <v>14</v>
      </c>
      <c r="C23" s="3" t="s">
        <v>7</v>
      </c>
      <c r="D23" s="4" t="n">
        <v>30</v>
      </c>
    </row>
    <row r="24" customFormat="false" ht="15" hidden="false" customHeight="false" outlineLevel="0" collapsed="false">
      <c r="A24" s="2" t="n">
        <v>45680</v>
      </c>
      <c r="B24" s="3" t="s">
        <v>16</v>
      </c>
      <c r="C24" s="3" t="s">
        <v>5</v>
      </c>
      <c r="D24" s="4" t="n">
        <v>25</v>
      </c>
    </row>
    <row r="25" customFormat="false" ht="15" hidden="false" customHeight="false" outlineLevel="0" collapsed="false">
      <c r="A25" s="2" t="n">
        <v>45681</v>
      </c>
      <c r="B25" s="3" t="s">
        <v>13</v>
      </c>
      <c r="C25" s="3" t="s">
        <v>5</v>
      </c>
      <c r="D25" s="4" t="n">
        <v>22</v>
      </c>
    </row>
    <row r="26" customFormat="false" ht="15" hidden="false" customHeight="false" outlineLevel="0" collapsed="false">
      <c r="A26" s="2" t="n">
        <v>45682</v>
      </c>
      <c r="B26" s="3" t="s">
        <v>10</v>
      </c>
      <c r="C26" s="3" t="s">
        <v>5</v>
      </c>
      <c r="D26" s="4" t="n">
        <v>44</v>
      </c>
    </row>
    <row r="27" customFormat="false" ht="15" hidden="false" customHeight="false" outlineLevel="0" collapsed="false">
      <c r="A27" s="2" t="n">
        <v>45683</v>
      </c>
      <c r="B27" s="3" t="s">
        <v>13</v>
      </c>
      <c r="C27" s="3" t="s">
        <v>5</v>
      </c>
      <c r="D27" s="4" t="n">
        <v>55</v>
      </c>
    </row>
    <row r="28" customFormat="false" ht="15" hidden="false" customHeight="false" outlineLevel="0" collapsed="false">
      <c r="A28" s="2" t="n">
        <v>45684</v>
      </c>
      <c r="B28" s="3" t="s">
        <v>10</v>
      </c>
      <c r="C28" s="3" t="s">
        <v>7</v>
      </c>
      <c r="D28" s="4" t="n">
        <v>12</v>
      </c>
    </row>
    <row r="29" customFormat="false" ht="15" hidden="false" customHeight="false" outlineLevel="0" collapsed="false">
      <c r="A29" s="2" t="n">
        <v>45685</v>
      </c>
      <c r="B29" s="3" t="s">
        <v>9</v>
      </c>
      <c r="C29" s="3" t="s">
        <v>7</v>
      </c>
      <c r="D29" s="4" t="n">
        <v>10</v>
      </c>
    </row>
    <row r="30" customFormat="false" ht="15" hidden="false" customHeight="false" outlineLevel="0" collapsed="false">
      <c r="A30" s="2" t="n">
        <v>45686</v>
      </c>
      <c r="B30" s="3" t="s">
        <v>15</v>
      </c>
      <c r="C30" s="3" t="s">
        <v>7</v>
      </c>
      <c r="D30" s="4" t="n">
        <v>5</v>
      </c>
    </row>
    <row r="31" customFormat="false" ht="15" hidden="false" customHeight="false" outlineLevel="0" collapsed="false">
      <c r="A31" s="2" t="n">
        <v>45687</v>
      </c>
      <c r="B31" s="3" t="s">
        <v>14</v>
      </c>
      <c r="C31" s="3" t="s">
        <v>7</v>
      </c>
      <c r="D31" s="4" t="n">
        <v>30</v>
      </c>
    </row>
    <row r="32" customFormat="false" ht="15" hidden="false" customHeight="false" outlineLevel="0" collapsed="false">
      <c r="A32" s="2" t="n">
        <v>45688</v>
      </c>
      <c r="B32" s="3" t="s">
        <v>8</v>
      </c>
      <c r="C32" s="3" t="s">
        <v>5</v>
      </c>
      <c r="D32" s="4" t="n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2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7" min="2" style="0" width="14"/>
  </cols>
  <sheetData>
    <row r="2" customFormat="false" ht="15" hidden="false" customHeight="false" outlineLevel="0" collapsed="false">
      <c r="A2" s="5" t="s">
        <v>17</v>
      </c>
      <c r="B2" s="5" t="s">
        <v>18</v>
      </c>
      <c r="C2" s="5"/>
      <c r="D2" s="5" t="s">
        <v>19</v>
      </c>
      <c r="E2" s="5"/>
      <c r="F2" s="5" t="s">
        <v>20</v>
      </c>
      <c r="G2" s="5"/>
    </row>
    <row r="3" customFormat="false" ht="15" hidden="false" customHeight="false" outlineLevel="0" collapsed="false">
      <c r="A3" s="5"/>
      <c r="B3" s="6" t="s">
        <v>21</v>
      </c>
      <c r="C3" s="6" t="s">
        <v>22</v>
      </c>
      <c r="D3" s="6" t="s">
        <v>21</v>
      </c>
      <c r="E3" s="6" t="s">
        <v>22</v>
      </c>
      <c r="F3" s="6" t="s">
        <v>21</v>
      </c>
      <c r="G3" s="6" t="s">
        <v>22</v>
      </c>
    </row>
    <row r="4" customFormat="false" ht="15" hidden="false" customHeight="false" outlineLevel="0" collapsed="false">
      <c r="A4" s="3" t="s">
        <v>13</v>
      </c>
      <c r="B4" s="4" t="n">
        <f aca="false">SUMIFS(GASTOS!$D$2:$D$32,GASTOS!$C$2:$C$32,B$3,GASTOS!$B$2:$B$32,$A4)</f>
        <v>111</v>
      </c>
      <c r="C4" s="4" t="n">
        <f aca="false">SUMIFS(GASTOS!$D$2:$D$32,GASTOS!$C$2:$C$32,C$3,GASTOS!$B$2:$B$32,$A4)</f>
        <v>25</v>
      </c>
      <c r="D4" s="7" t="n">
        <f aca="false">COUNTIFS(GASTOS!$C$2:$C$32,D$3,GASTOS!$B$2:$B$32,$A4)</f>
        <v>3</v>
      </c>
      <c r="E4" s="7" t="n">
        <f aca="false">COUNTIFS(GASTOS!$C$2:$C$32,E$3,GASTOS!$B$2:$B$32,$A4)</f>
        <v>1</v>
      </c>
      <c r="F4" s="4" t="n">
        <f aca="false">IFERROR(AVERAGEIFS(GASTOS!$D$2:$D$32,GASTOS!$C$2:$C$32,F$3,GASTOS!$B$2:$B$32,$A4),"")</f>
        <v>37</v>
      </c>
      <c r="G4" s="4" t="n">
        <f aca="false">IFERROR(AVERAGEIFS(GASTOS!$D$2:$D$32,GASTOS!$C$2:$C$32,G$3,GASTOS!$B$2:$B$32,$A4),"")</f>
        <v>25</v>
      </c>
    </row>
    <row r="5" customFormat="false" ht="15" hidden="false" customHeight="false" outlineLevel="0" collapsed="false">
      <c r="A5" s="3" t="s">
        <v>9</v>
      </c>
      <c r="B5" s="4" t="n">
        <f aca="false">SUMIFS(GASTOS!$D$2:$D$32,GASTOS!$C$2:$C$32,B$3,GASTOS!$B$2:$B$32,$A5)</f>
        <v>90</v>
      </c>
      <c r="C5" s="4" t="n">
        <f aca="false">SUMIFS(GASTOS!$D$2:$D$32,GASTOS!$C$2:$C$32,C$3,GASTOS!$B$2:$B$32,$A5)</f>
        <v>134</v>
      </c>
      <c r="D5" s="7" t="n">
        <f aca="false">COUNTIFS(GASTOS!$C$2:$C$32,D$3,GASTOS!$B$2:$B$32,$A5)</f>
        <v>1</v>
      </c>
      <c r="E5" s="7" t="n">
        <f aca="false">COUNTIFS(GASTOS!$C$2:$C$32,E$3,GASTOS!$B$2:$B$32,$A5)</f>
        <v>3</v>
      </c>
      <c r="F5" s="4" t="n">
        <f aca="false">IFERROR(AVERAGEIFS(GASTOS!$D$2:$D$32,GASTOS!$C$2:$C$32,F$3,GASTOS!$B$2:$B$32,$A5),"")</f>
        <v>90</v>
      </c>
      <c r="G5" s="4" t="n">
        <f aca="false">IFERROR(AVERAGEIFS(GASTOS!$D$2:$D$32,GASTOS!$C$2:$C$32,G$3,GASTOS!$B$2:$B$32,$A5),"")</f>
        <v>44.6666666666667</v>
      </c>
    </row>
    <row r="6" customFormat="false" ht="15" hidden="false" customHeight="false" outlineLevel="0" collapsed="false">
      <c r="A6" s="3" t="s">
        <v>6</v>
      </c>
      <c r="B6" s="4" t="n">
        <f aca="false">SUMIFS(GASTOS!$D$2:$D$32,GASTOS!$C$2:$C$32,B$3,GASTOS!$B$2:$B$32,$A6)</f>
        <v>56</v>
      </c>
      <c r="C6" s="4" t="n">
        <f aca="false">SUMIFS(GASTOS!$D$2:$D$32,GASTOS!$C$2:$C$32,C$3,GASTOS!$B$2:$B$32,$A6)</f>
        <v>10</v>
      </c>
      <c r="D6" s="7" t="n">
        <f aca="false">COUNTIFS(GASTOS!$C$2:$C$32,D$3,GASTOS!$B$2:$B$32,$A6)</f>
        <v>1</v>
      </c>
      <c r="E6" s="7" t="n">
        <f aca="false">COUNTIFS(GASTOS!$C$2:$C$32,E$3,GASTOS!$B$2:$B$32,$A6)</f>
        <v>1</v>
      </c>
      <c r="F6" s="4" t="n">
        <f aca="false">IFERROR(AVERAGEIFS(GASTOS!$D$2:$D$32,GASTOS!$C$2:$C$32,F$3,GASTOS!$B$2:$B$32,$A6),"")</f>
        <v>56</v>
      </c>
      <c r="G6" s="4" t="n">
        <f aca="false">IFERROR(AVERAGEIFS(GASTOS!$D$2:$D$32,GASTOS!$C$2:$C$32,G$3,GASTOS!$B$2:$B$32,$A6),"")</f>
        <v>10</v>
      </c>
    </row>
    <row r="7" customFormat="false" ht="15" hidden="false" customHeight="false" outlineLevel="0" collapsed="false">
      <c r="A7" s="3" t="s">
        <v>4</v>
      </c>
      <c r="B7" s="4" t="n">
        <f aca="false">SUMIFS(GASTOS!$D$2:$D$32,GASTOS!$C$2:$C$32,B$3,GASTOS!$B$2:$B$32,$A7)</f>
        <v>34</v>
      </c>
      <c r="C7" s="4" t="n">
        <f aca="false">SUMIFS(GASTOS!$D$2:$D$32,GASTOS!$C$2:$C$32,C$3,GASTOS!$B$2:$B$32,$A7)</f>
        <v>11</v>
      </c>
      <c r="D7" s="7" t="n">
        <f aca="false">COUNTIFS(GASTOS!$C$2:$C$32,D$3,GASTOS!$B$2:$B$32,$A7)</f>
        <v>1</v>
      </c>
      <c r="E7" s="7" t="n">
        <f aca="false">COUNTIFS(GASTOS!$C$2:$C$32,E$3,GASTOS!$B$2:$B$32,$A7)</f>
        <v>1</v>
      </c>
      <c r="F7" s="4" t="n">
        <f aca="false">IFERROR(AVERAGEIFS(GASTOS!$D$2:$D$32,GASTOS!$C$2:$C$32,F$3,GASTOS!$B$2:$B$32,$A7),"")</f>
        <v>34</v>
      </c>
      <c r="G7" s="4" t="n">
        <f aca="false">IFERROR(AVERAGEIFS(GASTOS!$D$2:$D$32,GASTOS!$C$2:$C$32,G$3,GASTOS!$B$2:$B$32,$A7),"")</f>
        <v>11</v>
      </c>
    </row>
    <row r="8" customFormat="false" ht="15" hidden="false" customHeight="false" outlineLevel="0" collapsed="false">
      <c r="A8" s="3" t="s">
        <v>10</v>
      </c>
      <c r="B8" s="4" t="n">
        <f aca="false">SUMIFS(GASTOS!$D$2:$D$32,GASTOS!$C$2:$C$32,B$3,GASTOS!$B$2:$B$32,$A8)</f>
        <v>44</v>
      </c>
      <c r="C8" s="4" t="n">
        <f aca="false">SUMIFS(GASTOS!$D$2:$D$32,GASTOS!$C$2:$C$32,C$3,GASTOS!$B$2:$B$32,$A8)</f>
        <v>22</v>
      </c>
      <c r="D8" s="7" t="n">
        <f aca="false">COUNTIFS(GASTOS!$C$2:$C$32,D$3,GASTOS!$B$2:$B$32,$A8)</f>
        <v>1</v>
      </c>
      <c r="E8" s="7" t="n">
        <f aca="false">COUNTIFS(GASTOS!$C$2:$C$32,E$3,GASTOS!$B$2:$B$32,$A8)</f>
        <v>2</v>
      </c>
      <c r="F8" s="4" t="n">
        <f aca="false">IFERROR(AVERAGEIFS(GASTOS!$D$2:$D$32,GASTOS!$C$2:$C$32,F$3,GASTOS!$B$2:$B$32,$A8),"")</f>
        <v>44</v>
      </c>
      <c r="G8" s="4" t="n">
        <f aca="false">IFERROR(AVERAGEIFS(GASTOS!$D$2:$D$32,GASTOS!$C$2:$C$32,G$3,GASTOS!$B$2:$B$32,$A8),"")</f>
        <v>11</v>
      </c>
    </row>
    <row r="9" customFormat="false" ht="15" hidden="false" customHeight="false" outlineLevel="0" collapsed="false">
      <c r="A9" s="3" t="s">
        <v>15</v>
      </c>
      <c r="B9" s="4" t="n">
        <f aca="false">SUMIFS(GASTOS!$D$2:$D$32,GASTOS!$C$2:$C$32,B$3,GASTOS!$B$2:$B$32,$A9)</f>
        <v>71</v>
      </c>
      <c r="C9" s="4" t="n">
        <f aca="false">SUMIFS(GASTOS!$D$2:$D$32,GASTOS!$C$2:$C$32,C$3,GASTOS!$B$2:$B$32,$A9)</f>
        <v>5</v>
      </c>
      <c r="D9" s="7" t="n">
        <f aca="false">COUNTIFS(GASTOS!$C$2:$C$32,D$3,GASTOS!$B$2:$B$32,$A9)</f>
        <v>1</v>
      </c>
      <c r="E9" s="7" t="n">
        <f aca="false">COUNTIFS(GASTOS!$C$2:$C$32,E$3,GASTOS!$B$2:$B$32,$A9)</f>
        <v>1</v>
      </c>
      <c r="F9" s="4" t="n">
        <f aca="false">IFERROR(AVERAGEIFS(GASTOS!$D$2:$D$32,GASTOS!$C$2:$C$32,F$3,GASTOS!$B$2:$B$32,$A9),"")</f>
        <v>71</v>
      </c>
      <c r="G9" s="4" t="n">
        <f aca="false">IFERROR(AVERAGEIFS(GASTOS!$D$2:$D$32,GASTOS!$C$2:$C$32,G$3,GASTOS!$B$2:$B$32,$A9),"")</f>
        <v>5</v>
      </c>
    </row>
    <row r="10" customFormat="false" ht="15" hidden="false" customHeight="false" outlineLevel="0" collapsed="false">
      <c r="A10" s="3" t="s">
        <v>14</v>
      </c>
      <c r="B10" s="4" t="n">
        <f aca="false">SUMIFS(GASTOS!$D$2:$D$32,GASTOS!$C$2:$C$32,B$3,GASTOS!$B$2:$B$32,$A10)</f>
        <v>92</v>
      </c>
      <c r="C10" s="4" t="n">
        <f aca="false">SUMIFS(GASTOS!$D$2:$D$32,GASTOS!$C$2:$C$32,C$3,GASTOS!$B$2:$B$32,$A10)</f>
        <v>114</v>
      </c>
      <c r="D10" s="7" t="n">
        <f aca="false">COUNTIFS(GASTOS!$C$2:$C$32,D$3,GASTOS!$B$2:$B$32,$A10)</f>
        <v>2</v>
      </c>
      <c r="E10" s="7" t="n">
        <f aca="false">COUNTIFS(GASTOS!$C$2:$C$32,E$3,GASTOS!$B$2:$B$32,$A10)</f>
        <v>3</v>
      </c>
      <c r="F10" s="4" t="n">
        <f aca="false">IFERROR(AVERAGEIFS(GASTOS!$D$2:$D$32,GASTOS!$C$2:$C$32,F$3,GASTOS!$B$2:$B$32,$A10),"")</f>
        <v>46</v>
      </c>
      <c r="G10" s="4" t="n">
        <f aca="false">IFERROR(AVERAGEIFS(GASTOS!$D$2:$D$32,GASTOS!$C$2:$C$32,G$3,GASTOS!$B$2:$B$32,$A10),"")</f>
        <v>38</v>
      </c>
    </row>
    <row r="11" customFormat="false" ht="15" hidden="false" customHeight="false" outlineLevel="0" collapsed="false">
      <c r="A11" s="3" t="s">
        <v>8</v>
      </c>
      <c r="B11" s="4" t="n">
        <f aca="false">SUMIFS(GASTOS!$D$2:$D$32,GASTOS!$C$2:$C$32,B$3,GASTOS!$B$2:$B$32,$A11)</f>
        <v>67</v>
      </c>
      <c r="C11" s="4" t="n">
        <f aca="false">SUMIFS(GASTOS!$D$2:$D$32,GASTOS!$C$2:$C$32,C$3,GASTOS!$B$2:$B$32,$A11)</f>
        <v>11</v>
      </c>
      <c r="D11" s="7" t="n">
        <f aca="false">COUNTIFS(GASTOS!$C$2:$C$32,D$3,GASTOS!$B$2:$B$32,$A11)</f>
        <v>2</v>
      </c>
      <c r="E11" s="7" t="n">
        <f aca="false">COUNTIFS(GASTOS!$C$2:$C$32,E$3,GASTOS!$B$2:$B$32,$A11)</f>
        <v>1</v>
      </c>
      <c r="F11" s="4" t="n">
        <f aca="false">IFERROR(AVERAGEIFS(GASTOS!$D$2:$D$32,GASTOS!$C$2:$C$32,F$3,GASTOS!$B$2:$B$32,$A11),"")</f>
        <v>33.5</v>
      </c>
      <c r="G11" s="4" t="n">
        <f aca="false">IFERROR(AVERAGEIFS(GASTOS!$D$2:$D$32,GASTOS!$C$2:$C$32,G$3,GASTOS!$B$2:$B$32,$A11),"")</f>
        <v>11</v>
      </c>
    </row>
    <row r="12" customFormat="false" ht="15" hidden="false" customHeight="false" outlineLevel="0" collapsed="false">
      <c r="A12" s="3" t="s">
        <v>11</v>
      </c>
      <c r="B12" s="4" t="n">
        <f aca="false">SUMIFS(GASTOS!$D$2:$D$32,GASTOS!$C$2:$C$32,B$3,GASTOS!$B$2:$B$32,$A12)</f>
        <v>55</v>
      </c>
      <c r="C12" s="4" t="n">
        <f aca="false">SUMIFS(GASTOS!$D$2:$D$32,GASTOS!$C$2:$C$32,C$3,GASTOS!$B$2:$B$32,$A12)</f>
        <v>25</v>
      </c>
      <c r="D12" s="7" t="n">
        <f aca="false">COUNTIFS(GASTOS!$C$2:$C$32,D$3,GASTOS!$B$2:$B$32,$A12)</f>
        <v>1</v>
      </c>
      <c r="E12" s="7" t="n">
        <f aca="false">COUNTIFS(GASTOS!$C$2:$C$32,E$3,GASTOS!$B$2:$B$32,$A12)</f>
        <v>1</v>
      </c>
      <c r="F12" s="4" t="n">
        <f aca="false">IFERROR(AVERAGEIFS(GASTOS!$D$2:$D$32,GASTOS!$C$2:$C$32,F$3,GASTOS!$B$2:$B$32,$A12),"")</f>
        <v>55</v>
      </c>
      <c r="G12" s="4" t="n">
        <f aca="false">IFERROR(AVERAGEIFS(GASTOS!$D$2:$D$32,GASTOS!$C$2:$C$32,G$3,GASTOS!$B$2:$B$32,$A12),"")</f>
        <v>25</v>
      </c>
    </row>
    <row r="13" customFormat="false" ht="15" hidden="false" customHeight="false" outlineLevel="0" collapsed="false">
      <c r="A13" s="3" t="s">
        <v>16</v>
      </c>
      <c r="B13" s="4" t="n">
        <f aca="false">SUMIFS(GASTOS!$D$2:$D$32,GASTOS!$C$2:$C$32,B$3,GASTOS!$B$2:$B$32,$A13)</f>
        <v>25</v>
      </c>
      <c r="C13" s="4" t="n">
        <f aca="false">SUMIFS(GASTOS!$D$2:$D$32,GASTOS!$C$2:$C$32,C$3,GASTOS!$B$2:$B$32,$A13)</f>
        <v>31</v>
      </c>
      <c r="D13" s="7" t="n">
        <f aca="false">COUNTIFS(GASTOS!$C$2:$C$32,D$3,GASTOS!$B$2:$B$32,$A13)</f>
        <v>1</v>
      </c>
      <c r="E13" s="7" t="n">
        <f aca="false">COUNTIFS(GASTOS!$C$2:$C$32,E$3,GASTOS!$B$2:$B$32,$A13)</f>
        <v>1</v>
      </c>
      <c r="F13" s="4" t="n">
        <f aca="false">IFERROR(AVERAGEIFS(GASTOS!$D$2:$D$32,GASTOS!$C$2:$C$32,F$3,GASTOS!$B$2:$B$32,$A13),"")</f>
        <v>25</v>
      </c>
      <c r="G13" s="4" t="n">
        <f aca="false">IFERROR(AVERAGEIFS(GASTOS!$D$2:$D$32,GASTOS!$C$2:$C$32,G$3,GASTOS!$B$2:$B$32,$A13),"")</f>
        <v>31</v>
      </c>
    </row>
    <row r="14" customFormat="false" ht="15" hidden="false" customHeight="false" outlineLevel="0" collapsed="false">
      <c r="A14" s="3" t="s">
        <v>12</v>
      </c>
      <c r="B14" s="4" t="n">
        <f aca="false">SUMIFS(GASTOS!$D$2:$D$32,GASTOS!$C$2:$C$32,B$3,GASTOS!$B$2:$B$32,$A14)</f>
        <v>76</v>
      </c>
      <c r="C14" s="4" t="n">
        <f aca="false">SUMIFS(GASTOS!$D$2:$D$32,GASTOS!$C$2:$C$32,C$3,GASTOS!$B$2:$B$32,$A14)</f>
        <v>84</v>
      </c>
      <c r="D14" s="7" t="n">
        <f aca="false">COUNTIFS(GASTOS!$C$2:$C$32,D$3,GASTOS!$B$2:$B$32,$A14)</f>
        <v>1</v>
      </c>
      <c r="E14" s="7" t="n">
        <f aca="false">COUNTIFS(GASTOS!$C$2:$C$32,E$3,GASTOS!$B$2:$B$32,$A14)</f>
        <v>1</v>
      </c>
      <c r="F14" s="4" t="n">
        <f aca="false">IFERROR(AVERAGEIFS(GASTOS!$D$2:$D$32,GASTOS!$C$2:$C$32,F$3,GASTOS!$B$2:$B$32,$A14),"")</f>
        <v>76</v>
      </c>
      <c r="G14" s="4" t="n">
        <f aca="false">IFERROR(AVERAGEIFS(GASTOS!$D$2:$D$32,GASTOS!$C$2:$C$32,G$3,GASTOS!$B$2:$B$32,$A14),"")</f>
        <v>84</v>
      </c>
    </row>
  </sheetData>
  <mergeCells count="4">
    <mergeCell ref="A2:A3"/>
    <mergeCell ref="B2:C2"/>
    <mergeCell ref="D2:E2"/>
    <mergeCell ref="F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2026-05-15T12:49:38Z</dcterms:created>
  <dc:creator>openpyxl</dc:creator>
  <dc:description/>
  <dc:language>en-US</dc:language>
  <cp:lastModifiedBy/>
  <dcterms:modified xsi:type="dcterms:W3CDTF">2026-05-15T12:49:38Z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