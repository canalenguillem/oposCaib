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775FE68-9082-4B8D-B704-153C97240CBE}" xr6:coauthVersionLast="47" xr6:coauthVersionMax="47" xr10:uidLastSave="{00000000-0000-0000-0000-000000000000}"/>
  <bookViews>
    <workbookView xWindow="-108" yWindow="-108" windowWidth="23256" windowHeight="12456" activeTab="1" xr2:uid="{6708640F-2A23-49F5-8BEC-A501D10050A3}"/>
  </bookViews>
  <sheets>
    <sheet name="gastos" sheetId="1" r:id="rId1"/>
    <sheet name="resu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G3" i="2"/>
  <c r="G4" i="2"/>
  <c r="G5" i="2"/>
  <c r="G6" i="2"/>
  <c r="G7" i="2"/>
  <c r="G8" i="2"/>
  <c r="G9" i="2"/>
  <c r="G10" i="2"/>
  <c r="G11" i="2"/>
  <c r="G12" i="2"/>
  <c r="G13" i="2"/>
  <c r="F4" i="2"/>
  <c r="F5" i="2"/>
  <c r="F6" i="2"/>
  <c r="F7" i="2"/>
  <c r="F8" i="2"/>
  <c r="F9" i="2"/>
  <c r="F10" i="2"/>
  <c r="F11" i="2"/>
  <c r="F12" i="2"/>
  <c r="F13" i="2"/>
  <c r="F3" i="2"/>
  <c r="E3" i="2"/>
  <c r="E4" i="2"/>
  <c r="E5" i="2"/>
  <c r="E6" i="2"/>
  <c r="E7" i="2"/>
  <c r="E8" i="2"/>
  <c r="E9" i="2"/>
  <c r="E10" i="2"/>
  <c r="E11" i="2"/>
  <c r="E12" i="2"/>
  <c r="E13" i="2"/>
  <c r="D4" i="2"/>
  <c r="D5" i="2"/>
  <c r="D6" i="2"/>
  <c r="D7" i="2"/>
  <c r="D8" i="2"/>
  <c r="D9" i="2"/>
  <c r="D10" i="2"/>
  <c r="D11" i="2"/>
  <c r="D12" i="2"/>
  <c r="D13" i="2"/>
  <c r="D3" i="2"/>
  <c r="B3" i="2"/>
  <c r="B4" i="2"/>
  <c r="B5" i="2"/>
  <c r="B6" i="2"/>
  <c r="B7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<sst xmlns="http://schemas.openxmlformats.org/spreadsheetml/2006/main" count="87" uniqueCount="34">
  <si>
    <t>Fecha</t>
  </si>
  <si>
    <t>Concepto</t>
  </si>
  <si>
    <t>Pagador</t>
  </si>
  <si>
    <t>Importe</t>
  </si>
  <si>
    <t>niños</t>
  </si>
  <si>
    <t>lorenzo</t>
  </si>
  <si>
    <t>diversos</t>
  </si>
  <si>
    <t>julia</t>
  </si>
  <si>
    <t>vivienda</t>
  </si>
  <si>
    <t>seguros</t>
  </si>
  <si>
    <t>entretenimiento</t>
  </si>
  <si>
    <t>alquileres</t>
  </si>
  <si>
    <t>vehiculo</t>
  </si>
  <si>
    <t>alimentacion</t>
  </si>
  <si>
    <t xml:space="preserve">impuestos </t>
  </si>
  <si>
    <t>ropa</t>
  </si>
  <si>
    <t>mutua</t>
  </si>
  <si>
    <t>CONCEPTO</t>
  </si>
  <si>
    <t>TOTAL GASTOS</t>
  </si>
  <si>
    <t>Nº ADQUISICIONES</t>
  </si>
  <si>
    <t>GASTO MEDIO</t>
  </si>
  <si>
    <t>LORENZO</t>
  </si>
  <si>
    <t>JULIA</t>
  </si>
  <si>
    <t>ALIMENTACION</t>
  </si>
  <si>
    <t>SEGUROS</t>
  </si>
  <si>
    <t>DIVERSOS</t>
  </si>
  <si>
    <t xml:space="preserve">NIÑOS </t>
  </si>
  <si>
    <t>ENTRETENIMIENTO</t>
  </si>
  <si>
    <t>ROPA</t>
  </si>
  <si>
    <t>IMPUESTOS</t>
  </si>
  <si>
    <t>VIVIENDA</t>
  </si>
  <si>
    <t>ALQUILERES</t>
  </si>
  <si>
    <t>MUTUA</t>
  </si>
  <si>
    <t>VEHICULO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</si>
</sst>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1139-BCF6-490D-8BCC-589984E8BA34}">
  <dimension ref="A1:D32"/>
  <sheetViews>
    <sheetView workbookViewId="0">
      <selection activeCell="G18" sqref="G18"/>
    </sheetView>
  </sheetViews>
  <sheetFormatPr baseColWidth="10"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45658</v>
      </c>
      <c r="B2" s="3" t="s">
        <v>4</v>
      </c>
      <c r="C2" s="3" t="s">
        <v>5</v>
      </c>
      <c r="D2" s="4">
        <v>34</v>
      </c>
    </row>
    <row r="3" spans="1:4" ht="15" thickBot="1" x14ac:dyDescent="0.35">
      <c r="A3" s="2">
        <v>45659</v>
      </c>
      <c r="B3" s="3" t="s">
        <v>6</v>
      </c>
      <c r="C3" s="3" t="s">
        <v>5</v>
      </c>
      <c r="D3" s="4">
        <v>56</v>
      </c>
    </row>
    <row r="4" spans="1:4" ht="15" thickBot="1" x14ac:dyDescent="0.35">
      <c r="A4" s="2">
        <v>45660</v>
      </c>
      <c r="B4" s="5" t="s">
        <v>4</v>
      </c>
      <c r="C4" s="3" t="s">
        <v>7</v>
      </c>
      <c r="D4" s="4">
        <v>11</v>
      </c>
    </row>
    <row r="5" spans="1:4" ht="15" thickBot="1" x14ac:dyDescent="0.35">
      <c r="A5" s="2">
        <v>45661</v>
      </c>
      <c r="B5" s="5" t="s">
        <v>6</v>
      </c>
      <c r="C5" s="3" t="s">
        <v>7</v>
      </c>
      <c r="D5" s="4">
        <v>10</v>
      </c>
    </row>
    <row r="6" spans="1:4" ht="15" thickBot="1" x14ac:dyDescent="0.35">
      <c r="A6" s="2">
        <v>45662</v>
      </c>
      <c r="B6" s="5" t="s">
        <v>8</v>
      </c>
      <c r="C6" s="3" t="s">
        <v>5</v>
      </c>
      <c r="D6" s="4">
        <v>22</v>
      </c>
    </row>
    <row r="7" spans="1:4" ht="15" thickBot="1" x14ac:dyDescent="0.35">
      <c r="A7" s="2">
        <v>45663</v>
      </c>
      <c r="B7" s="3" t="s">
        <v>9</v>
      </c>
      <c r="C7" s="3" t="s">
        <v>7</v>
      </c>
      <c r="D7" s="4">
        <v>90</v>
      </c>
    </row>
    <row r="8" spans="1:4" ht="15" thickBot="1" x14ac:dyDescent="0.35">
      <c r="A8" s="2">
        <v>45664</v>
      </c>
      <c r="B8" s="3" t="s">
        <v>10</v>
      </c>
      <c r="C8" s="3" t="s">
        <v>7</v>
      </c>
      <c r="D8" s="4">
        <v>10</v>
      </c>
    </row>
    <row r="9" spans="1:4" ht="15" thickBot="1" x14ac:dyDescent="0.35">
      <c r="A9" s="2">
        <v>45665</v>
      </c>
      <c r="B9" s="3" t="s">
        <v>8</v>
      </c>
      <c r="C9" s="3" t="s">
        <v>7</v>
      </c>
      <c r="D9" s="4">
        <v>11</v>
      </c>
    </row>
    <row r="10" spans="1:4" ht="15" thickBot="1" x14ac:dyDescent="0.35">
      <c r="A10" s="2">
        <v>45666</v>
      </c>
      <c r="B10" s="3" t="s">
        <v>11</v>
      </c>
      <c r="C10" s="3" t="s">
        <v>5</v>
      </c>
      <c r="D10" s="4">
        <v>55</v>
      </c>
    </row>
    <row r="11" spans="1:4" ht="15" thickBot="1" x14ac:dyDescent="0.35">
      <c r="A11" s="2">
        <v>45667</v>
      </c>
      <c r="B11" s="3" t="s">
        <v>12</v>
      </c>
      <c r="C11" s="3" t="s">
        <v>5</v>
      </c>
      <c r="D11" s="4">
        <v>76</v>
      </c>
    </row>
    <row r="12" spans="1:4" ht="15" thickBot="1" x14ac:dyDescent="0.35">
      <c r="A12" s="2">
        <v>45668</v>
      </c>
      <c r="B12" s="3" t="s">
        <v>12</v>
      </c>
      <c r="C12" s="3" t="s">
        <v>7</v>
      </c>
      <c r="D12" s="4">
        <v>84</v>
      </c>
    </row>
    <row r="13" spans="1:4" ht="15" thickBot="1" x14ac:dyDescent="0.35">
      <c r="A13" s="2">
        <v>45669</v>
      </c>
      <c r="B13" s="3" t="s">
        <v>13</v>
      </c>
      <c r="C13" s="3" t="s">
        <v>5</v>
      </c>
      <c r="D13" s="4">
        <v>34</v>
      </c>
    </row>
    <row r="14" spans="1:4" ht="15" thickBot="1" x14ac:dyDescent="0.35">
      <c r="A14" s="2">
        <v>45670</v>
      </c>
      <c r="B14" s="3" t="s">
        <v>11</v>
      </c>
      <c r="C14" s="3" t="s">
        <v>7</v>
      </c>
      <c r="D14" s="4">
        <v>25</v>
      </c>
    </row>
    <row r="15" spans="1:4" ht="15" thickBot="1" x14ac:dyDescent="0.35">
      <c r="A15" s="2">
        <v>45671</v>
      </c>
      <c r="B15" s="3" t="s">
        <v>13</v>
      </c>
      <c r="C15" s="3" t="s">
        <v>7</v>
      </c>
      <c r="D15" s="4">
        <v>25</v>
      </c>
    </row>
    <row r="16" spans="1:4" ht="15" thickBot="1" x14ac:dyDescent="0.35">
      <c r="A16" s="2">
        <v>45672</v>
      </c>
      <c r="B16" s="3" t="s">
        <v>14</v>
      </c>
      <c r="C16" s="3" t="s">
        <v>5</v>
      </c>
      <c r="D16" s="4">
        <v>12</v>
      </c>
    </row>
    <row r="17" spans="1:4" ht="15" thickBot="1" x14ac:dyDescent="0.35">
      <c r="A17" s="2">
        <v>45673</v>
      </c>
      <c r="B17" s="3" t="s">
        <v>9</v>
      </c>
      <c r="C17" s="3" t="s">
        <v>7</v>
      </c>
      <c r="D17" s="4">
        <v>34</v>
      </c>
    </row>
    <row r="18" spans="1:4" ht="15" thickBot="1" x14ac:dyDescent="0.35">
      <c r="A18" s="2">
        <v>45674</v>
      </c>
      <c r="B18" s="3" t="s">
        <v>14</v>
      </c>
      <c r="C18" s="3" t="s">
        <v>7</v>
      </c>
      <c r="D18" s="4">
        <v>54</v>
      </c>
    </row>
    <row r="19" spans="1:4" ht="15" thickBot="1" x14ac:dyDescent="0.35">
      <c r="A19" s="2">
        <v>45675</v>
      </c>
      <c r="B19" s="3" t="s">
        <v>15</v>
      </c>
      <c r="C19" s="3" t="s">
        <v>5</v>
      </c>
      <c r="D19" s="4">
        <v>71</v>
      </c>
    </row>
    <row r="20" spans="1:4" ht="15" thickBot="1" x14ac:dyDescent="0.35">
      <c r="A20" s="2">
        <v>45676</v>
      </c>
      <c r="B20" s="3" t="s">
        <v>16</v>
      </c>
      <c r="C20" s="3" t="s">
        <v>7</v>
      </c>
      <c r="D20" s="4">
        <v>31</v>
      </c>
    </row>
    <row r="21" spans="1:4" ht="15" thickBot="1" x14ac:dyDescent="0.35">
      <c r="A21" s="2">
        <v>45677</v>
      </c>
      <c r="B21" s="3" t="s">
        <v>9</v>
      </c>
      <c r="C21" s="3" t="s">
        <v>5</v>
      </c>
      <c r="D21" s="4">
        <v>90</v>
      </c>
    </row>
    <row r="22" spans="1:4" ht="15" thickBot="1" x14ac:dyDescent="0.35">
      <c r="A22" s="2">
        <v>45678</v>
      </c>
      <c r="B22" s="3" t="s">
        <v>14</v>
      </c>
      <c r="C22" s="3" t="s">
        <v>5</v>
      </c>
      <c r="D22" s="4">
        <v>80</v>
      </c>
    </row>
    <row r="23" spans="1:4" ht="15" thickBot="1" x14ac:dyDescent="0.35">
      <c r="A23" s="2">
        <v>45679</v>
      </c>
      <c r="B23" s="3" t="s">
        <v>14</v>
      </c>
      <c r="C23" s="3" t="s">
        <v>7</v>
      </c>
      <c r="D23" s="4">
        <v>30</v>
      </c>
    </row>
    <row r="24" spans="1:4" ht="15" thickBot="1" x14ac:dyDescent="0.35">
      <c r="A24" s="2">
        <v>45680</v>
      </c>
      <c r="B24" s="3" t="s">
        <v>16</v>
      </c>
      <c r="C24" s="3" t="s">
        <v>5</v>
      </c>
      <c r="D24" s="4">
        <v>25</v>
      </c>
    </row>
    <row r="25" spans="1:4" ht="15" thickBot="1" x14ac:dyDescent="0.35">
      <c r="A25" s="2">
        <v>45681</v>
      </c>
      <c r="B25" s="3" t="s">
        <v>13</v>
      </c>
      <c r="C25" s="3" t="s">
        <v>5</v>
      </c>
      <c r="D25" s="4">
        <v>22</v>
      </c>
    </row>
    <row r="26" spans="1:4" ht="15" thickBot="1" x14ac:dyDescent="0.35">
      <c r="A26" s="2">
        <v>45682</v>
      </c>
      <c r="B26" s="3" t="s">
        <v>10</v>
      </c>
      <c r="C26" s="3" t="s">
        <v>5</v>
      </c>
      <c r="D26" s="4">
        <v>44</v>
      </c>
    </row>
    <row r="27" spans="1:4" ht="15" thickBot="1" x14ac:dyDescent="0.35">
      <c r="A27" s="2">
        <v>45683</v>
      </c>
      <c r="B27" s="3" t="s">
        <v>13</v>
      </c>
      <c r="C27" s="3" t="s">
        <v>5</v>
      </c>
      <c r="D27" s="4">
        <v>55</v>
      </c>
    </row>
    <row r="28" spans="1:4" ht="15" thickBot="1" x14ac:dyDescent="0.35">
      <c r="A28" s="2">
        <v>45684</v>
      </c>
      <c r="B28" s="3" t="s">
        <v>10</v>
      </c>
      <c r="C28" s="3" t="s">
        <v>7</v>
      </c>
      <c r="D28" s="4">
        <v>12</v>
      </c>
    </row>
    <row r="29" spans="1:4" ht="15" thickBot="1" x14ac:dyDescent="0.35">
      <c r="A29" s="2">
        <v>45685</v>
      </c>
      <c r="B29" s="3" t="s">
        <v>9</v>
      </c>
      <c r="C29" s="3" t="s">
        <v>7</v>
      </c>
      <c r="D29" s="4">
        <v>10</v>
      </c>
    </row>
    <row r="30" spans="1:4" ht="15" thickBot="1" x14ac:dyDescent="0.35">
      <c r="A30" s="2">
        <v>45686</v>
      </c>
      <c r="B30" s="3" t="s">
        <v>15</v>
      </c>
      <c r="C30" s="3" t="s">
        <v>7</v>
      </c>
      <c r="D30" s="4">
        <v>5</v>
      </c>
    </row>
    <row r="31" spans="1:4" ht="15" thickBot="1" x14ac:dyDescent="0.35">
      <c r="A31" s="2">
        <v>45687</v>
      </c>
      <c r="B31" s="3" t="s">
        <v>14</v>
      </c>
      <c r="C31" s="3" t="s">
        <v>7</v>
      </c>
      <c r="D31" s="4">
        <v>30</v>
      </c>
    </row>
    <row r="32" spans="1:4" ht="15" thickBot="1" x14ac:dyDescent="0.35">
      <c r="A32" s="2">
        <v>45688</v>
      </c>
      <c r="B32" s="3" t="s">
        <v>8</v>
      </c>
      <c r="C32" s="3" t="s">
        <v>5</v>
      </c>
      <c r="D32" s="4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B41C-F6B7-4B3C-947F-4C9DBE42027F}">
  <dimension ref="A1:G14"/>
  <sheetViews>
    <sheetView tabSelected="1" workbookViewId="0">
      <selection activeCell="K8" sqref="K8"/>
    </sheetView>
  </sheetViews>
  <sheetFormatPr baseColWidth="10" defaultRowHeight="14.4" x14ac:dyDescent="0.3"/>
  <cols>
    <col min="1" max="1" width="16.88671875" customWidth="1"/>
  </cols>
  <sheetData>
    <row r="1" spans="1:7" ht="15" thickBot="1" x14ac:dyDescent="0.35">
      <c r="A1" s="16" t="s">
        <v>17</v>
      </c>
      <c r="B1" s="18" t="s">
        <v>18</v>
      </c>
      <c r="C1" s="19"/>
      <c r="D1" s="20" t="s">
        <v>19</v>
      </c>
      <c r="E1" s="20"/>
      <c r="F1" s="21" t="s">
        <v>20</v>
      </c>
      <c r="G1" s="22"/>
    </row>
    <row r="2" spans="1:7" ht="15.6" thickTop="1" thickBot="1" x14ac:dyDescent="0.35">
      <c r="A2" s="17"/>
      <c r="B2" s="6" t="s">
        <v>21</v>
      </c>
      <c r="C2" s="7" t="s">
        <v>22</v>
      </c>
      <c r="D2" s="8" t="s">
        <v>21</v>
      </c>
      <c r="E2" s="8" t="s">
        <v>22</v>
      </c>
      <c r="F2" s="9" t="s">
        <v>21</v>
      </c>
      <c r="G2" s="10" t="s">
        <v>22</v>
      </c>
    </row>
    <row r="3" spans="1:7" ht="15.6" thickTop="1" thickBot="1" x14ac:dyDescent="0.35">
      <c r="A3" s="11" t="s">
        <v>23</v>
      </c>
      <c r="B3" s="12">
        <f>SUMIFS(gastos!$D$2:D$32,gastos!$B$2:$B$32,$A3,gastos!$C$2:$C$32,$B$2)</f>
        <v>111</v>
      </c>
      <c r="C3" s="12" t="e">
        <f>SUMIFS(gastos!$D$2:E$32,gastos!$B$2:$B$32,$A3,gastos!$C$2:$C$32,$B$2)</f>
        <v>#VALUE!</v>
      </c>
      <c r="D3" s="11">
        <f>COUNTIFS(gastos!$B$2:$B$32,resumen!$A3,gastos!$C$2:$C$32,resumen!D$2)</f>
        <v>3</v>
      </c>
      <c r="E3" s="11">
        <f>COUNTIFS(gastos!$B$2:$B$32,resumen!$A3,gastos!$C$2:$C$32,resumen!E$2)</f>
        <v>1</v>
      </c>
      <c r="F3" s="13">
        <f>AVERAGEIFS(gastos!$D$2:$D$32,gastos!$B$2:$B$32,resumen!$A3,gastos!$C$2:$C$32,resumen!F$2)</f>
        <v>37</v>
      </c>
      <c r="G3" s="13">
        <f>AVERAGEIFS(gastos!$D$2:$D$32,gastos!$B$2:$B$32,resumen!$A3,gastos!$C$2:$C$32,resumen!G$2)</f>
        <v>25</v>
      </c>
    </row>
    <row r="4" spans="1:7" ht="15.6" thickTop="1" thickBot="1" x14ac:dyDescent="0.35">
      <c r="A4" s="14" t="s">
        <v>31</v>
      </c>
      <c r="B4" s="12">
        <f>SUMIFS(gastos!$D$2:D$32,gastos!$B$2:$B$32,$A4,gastos!$C$2:$C$32,$B$2)</f>
        <v>55</v>
      </c>
      <c r="C4" s="12" t="e">
        <f>SUMIFS(gastos!$D$2:E$32,gastos!$B$2:$B$32,$A4,gastos!$C$2:$C$32,$B$2)</f>
        <v>#VALUE!</v>
      </c>
      <c r="D4" s="11">
        <f>COUNTIFS(gastos!$B$2:$B$32,resumen!$A4,gastos!$C$2:$C$32,resumen!D$2)</f>
        <v>1</v>
      </c>
      <c r="E4" s="11">
        <f>COUNTIFS(gastos!$B$2:$B$32,resumen!$A4,gastos!$C$2:$C$32,resumen!E$2)</f>
        <v>1</v>
      </c>
      <c r="F4" s="13">
        <f>AVERAGEIFS(gastos!$D$2:$D$32,gastos!$B$2:$B$32,resumen!$A4,gastos!$C$2:$C$32,resumen!F$2)</f>
        <v>55</v>
      </c>
      <c r="G4" s="13">
        <f>AVERAGEIFS(gastos!$D$2:$D$32,gastos!$B$2:$B$32,resumen!$A4,gastos!$C$2:$C$32,resumen!G$2)</f>
        <v>25</v>
      </c>
    </row>
    <row r="5" spans="1:7" ht="15.6" thickTop="1" thickBot="1" x14ac:dyDescent="0.35">
      <c r="A5" s="14" t="s">
        <v>25</v>
      </c>
      <c r="B5" s="12">
        <f>SUMIFS(gastos!$D$2:D$32,gastos!$B$2:$B$32,$A5,gastos!$C$2:$C$32,$B$2)</f>
        <v>56</v>
      </c>
      <c r="C5" s="12" t="e">
        <f>SUMIFS(gastos!$D$2:E$32,gastos!$B$2:$B$32,$A5,gastos!$C$2:$C$32,$B$2)</f>
        <v>#VALUE!</v>
      </c>
      <c r="D5" s="11">
        <f>COUNTIFS(gastos!$B$2:$B$32,resumen!$A5,gastos!$C$2:$C$32,resumen!D$2)</f>
        <v>1</v>
      </c>
      <c r="E5" s="11">
        <f>COUNTIFS(gastos!$B$2:$B$32,resumen!$A5,gastos!$C$2:$C$32,resumen!E$2)</f>
        <v>1</v>
      </c>
      <c r="F5" s="13">
        <f>AVERAGEIFS(gastos!$D$2:$D$32,gastos!$B$2:$B$32,resumen!$A5,gastos!$C$2:$C$32,resumen!F$2)</f>
        <v>56</v>
      </c>
      <c r="G5" s="13">
        <f>AVERAGEIFS(gastos!$D$2:$D$32,gastos!$B$2:$B$32,resumen!$A5,gastos!$C$2:$C$32,resumen!G$2)</f>
        <v>10</v>
      </c>
    </row>
    <row r="6" spans="1:7" ht="15.6" thickTop="1" thickBot="1" x14ac:dyDescent="0.35">
      <c r="A6" s="14" t="s">
        <v>27</v>
      </c>
      <c r="B6" s="12">
        <f>SUMIFS(gastos!$D$2:D$32,gastos!$B$2:$B$32,$A6,gastos!$C$2:$C$32,$B$2)</f>
        <v>44</v>
      </c>
      <c r="C6" s="12" t="e">
        <f>SUMIFS(gastos!$D$2:E$32,gastos!$B$2:$B$32,$A6,gastos!$C$2:$C$32,$B$2)</f>
        <v>#VALUE!</v>
      </c>
      <c r="D6" s="11">
        <f>COUNTIFS(gastos!$B$2:$B$32,resumen!$A6,gastos!$C$2:$C$32,resumen!D$2)</f>
        <v>1</v>
      </c>
      <c r="E6" s="11">
        <f>COUNTIFS(gastos!$B$2:$B$32,resumen!$A6,gastos!$C$2:$C$32,resumen!E$2)</f>
        <v>2</v>
      </c>
      <c r="F6" s="13">
        <f>AVERAGEIFS(gastos!$D$2:$D$32,gastos!$B$2:$B$32,resumen!$A6,gastos!$C$2:$C$32,resumen!F$2)</f>
        <v>44</v>
      </c>
      <c r="G6" s="13">
        <f>AVERAGEIFS(gastos!$D$2:$D$32,gastos!$B$2:$B$32,resumen!$A6,gastos!$C$2:$C$32,resumen!G$2)</f>
        <v>11</v>
      </c>
    </row>
    <row r="7" spans="1:7" ht="15.6" thickTop="1" thickBot="1" x14ac:dyDescent="0.35">
      <c r="A7" s="14" t="s">
        <v>29</v>
      </c>
      <c r="B7" s="12">
        <f>SUMIFS(gastos!$D$2:D$32,gastos!$B$2:$B$32,$A7,gastos!$C$2:$C$32,$B$2)</f>
        <v>0</v>
      </c>
      <c r="C7" s="12" t="e">
        <f>SUMIFS(gastos!$D$2:E$32,gastos!$B$2:$B$32,$A7,gastos!$C$2:$C$32,$B$2)</f>
        <v>#VALUE!</v>
      </c>
      <c r="D7" s="11">
        <f>COUNTIFS(gastos!$B$2:$B$32,resumen!$A7,gastos!$C$2:$C$32,resumen!D$2)</f>
        <v>0</v>
      </c>
      <c r="E7" s="11">
        <f>COUNTIFS(gastos!$B$2:$B$32,resumen!$A7,gastos!$C$2:$C$32,resumen!E$2)</f>
        <v>0</v>
      </c>
      <c r="F7" s="13" t="e">
        <f>AVERAGEIFS(gastos!$D$2:$D$32,gastos!$B$2:$B$32,resumen!$A7,gastos!$C$2:$C$32,resumen!F$2)</f>
        <v>#DIV/0!</v>
      </c>
      <c r="G7" s="13" t="e">
        <f>AVERAGEIFS(gastos!$D$2:$D$32,gastos!$B$2:$B$32,resumen!$A7,gastos!$C$2:$C$32,resumen!G$2)</f>
        <v>#DIV/0!</v>
      </c>
    </row>
    <row r="8" spans="1:7" ht="15.6" thickTop="1" thickBot="1" x14ac:dyDescent="0.35">
      <c r="A8" s="14" t="s">
        <v>32</v>
      </c>
      <c r="B8" s="12">
        <f>SUMIFS(gastos!$D$2:D$32,gastos!$B$2:$B$32,$A8,gastos!$C$2:$C$32,$B$2)</f>
        <v>25</v>
      </c>
      <c r="C8" s="12" t="e">
        <f>SUMIFS(gastos!$D$2:E$32,gastos!$B$2:$B$32,$A8,gastos!$C$2:$C$32,$B$2)</f>
        <v>#VALUE!</v>
      </c>
      <c r="D8" s="11">
        <f>COUNTIFS(gastos!$B$2:$B$32,resumen!$A8,gastos!$C$2:$C$32,resumen!D$2)</f>
        <v>1</v>
      </c>
      <c r="E8" s="11">
        <f>COUNTIFS(gastos!$B$2:$B$32,resumen!$A8,gastos!$C$2:$C$32,resumen!E$2)</f>
        <v>1</v>
      </c>
      <c r="F8" s="13">
        <f>AVERAGEIFS(gastos!$D$2:$D$32,gastos!$B$2:$B$32,resumen!$A8,gastos!$C$2:$C$32,resumen!F$2)</f>
        <v>25</v>
      </c>
      <c r="G8" s="13">
        <f>AVERAGEIFS(gastos!$D$2:$D$32,gastos!$B$2:$B$32,resumen!$A8,gastos!$C$2:$C$32,resumen!G$2)</f>
        <v>31</v>
      </c>
    </row>
    <row r="9" spans="1:7" ht="15.6" thickTop="1" thickBot="1" x14ac:dyDescent="0.35">
      <c r="A9" s="14" t="s">
        <v>26</v>
      </c>
      <c r="B9" s="12">
        <f>SUMIFS(gastos!$D$2:D$32,gastos!$B$2:$B$32,$A9,gastos!$C$2:$C$32,$B$2)</f>
        <v>0</v>
      </c>
      <c r="C9" s="12" t="e">
        <f>SUMIFS(gastos!$D$2:E$32,gastos!$B$2:$B$32,$A9,gastos!$C$2:$C$32,$B$2)</f>
        <v>#VALUE!</v>
      </c>
      <c r="D9" s="11">
        <f>COUNTIFS(gastos!$B$2:$B$32,resumen!$A9,gastos!$C$2:$C$32,resumen!D$2)</f>
        <v>0</v>
      </c>
      <c r="E9" s="11">
        <f>COUNTIFS(gastos!$B$2:$B$32,resumen!$A9,gastos!$C$2:$C$32,resumen!E$2)</f>
        <v>0</v>
      </c>
      <c r="F9" s="13" t="e">
        <f>AVERAGEIFS(gastos!$D$2:$D$32,gastos!$B$2:$B$32,resumen!$A9,gastos!$C$2:$C$32,resumen!F$2)</f>
        <v>#DIV/0!</v>
      </c>
      <c r="G9" s="13" t="e">
        <f>AVERAGEIFS(gastos!$D$2:$D$32,gastos!$B$2:$B$32,resumen!$A9,gastos!$C$2:$C$32,resumen!G$2)</f>
        <v>#DIV/0!</v>
      </c>
    </row>
    <row r="10" spans="1:7" ht="15.6" thickTop="1" thickBot="1" x14ac:dyDescent="0.35">
      <c r="A10" s="14" t="s">
        <v>28</v>
      </c>
      <c r="B10" s="12">
        <f>SUMIFS(gastos!$D$2:D$32,gastos!$B$2:$B$32,$A10,gastos!$C$2:$C$32,$B$2)</f>
        <v>71</v>
      </c>
      <c r="C10" s="12" t="e">
        <f>SUMIFS(gastos!$D$2:E$32,gastos!$B$2:$B$32,$A10,gastos!$C$2:$C$32,$B$2)</f>
        <v>#VALUE!</v>
      </c>
      <c r="D10" s="11">
        <f>COUNTIFS(gastos!$B$2:$B$32,resumen!$A10,gastos!$C$2:$C$32,resumen!D$2)</f>
        <v>1</v>
      </c>
      <c r="E10" s="11">
        <f>COUNTIFS(gastos!$B$2:$B$32,resumen!$A10,gastos!$C$2:$C$32,resumen!E$2)</f>
        <v>1</v>
      </c>
      <c r="F10" s="13">
        <f>AVERAGEIFS(gastos!$D$2:$D$32,gastos!$B$2:$B$32,resumen!$A10,gastos!$C$2:$C$32,resumen!F$2)</f>
        <v>71</v>
      </c>
      <c r="G10" s="13">
        <f>AVERAGEIFS(gastos!$D$2:$D$32,gastos!$B$2:$B$32,resumen!$A10,gastos!$C$2:$C$32,resumen!G$2)</f>
        <v>5</v>
      </c>
    </row>
    <row r="11" spans="1:7" ht="15.6" thickTop="1" thickBot="1" x14ac:dyDescent="0.35">
      <c r="A11" s="14" t="s">
        <v>24</v>
      </c>
      <c r="B11" s="12">
        <f>SUMIFS(gastos!$D$2:D$32,gastos!$B$2:$B$32,$A11,gastos!$C$2:$C$32,$B$2)</f>
        <v>90</v>
      </c>
      <c r="C11" s="12" t="e">
        <f>SUMIFS(gastos!$D$2:E$32,gastos!$B$2:$B$32,$A11,gastos!$C$2:$C$32,$B$2)</f>
        <v>#VALUE!</v>
      </c>
      <c r="D11" s="11">
        <f>COUNTIFS(gastos!$B$2:$B$32,resumen!$A11,gastos!$C$2:$C$32,resumen!D$2)</f>
        <v>1</v>
      </c>
      <c r="E11" s="11">
        <f>COUNTIFS(gastos!$B$2:$B$32,resumen!$A11,gastos!$C$2:$C$32,resumen!E$2)</f>
        <v>3</v>
      </c>
      <c r="F11" s="13">
        <f>AVERAGEIFS(gastos!$D$2:$D$32,gastos!$B$2:$B$32,resumen!$A11,gastos!$C$2:$C$32,resumen!F$2)</f>
        <v>90</v>
      </c>
      <c r="G11" s="13">
        <f>AVERAGEIFS(gastos!$D$2:$D$32,gastos!$B$2:$B$32,resumen!$A11,gastos!$C$2:$C$32,resumen!G$2)</f>
        <v>44.666666666666664</v>
      </c>
    </row>
    <row r="12" spans="1:7" ht="15.6" thickTop="1" thickBot="1" x14ac:dyDescent="0.35">
      <c r="A12" s="14" t="s">
        <v>33</v>
      </c>
      <c r="B12" s="12">
        <f>SUMIFS(gastos!$D$2:D$32,gastos!$B$2:$B$32,$A12,gastos!$C$2:$C$32,$B$2)</f>
        <v>76</v>
      </c>
      <c r="C12" s="12" t="e">
        <f>SUMIFS(gastos!$D$2:E$32,gastos!$B$2:$B$32,$A12,gastos!$C$2:$C$32,$B$2)</f>
        <v>#VALUE!</v>
      </c>
      <c r="D12" s="11">
        <f>COUNTIFS(gastos!$B$2:$B$32,resumen!$A12,gastos!$C$2:$C$32,resumen!D$2)</f>
        <v>1</v>
      </c>
      <c r="E12" s="11">
        <f>COUNTIFS(gastos!$B$2:$B$32,resumen!$A12,gastos!$C$2:$C$32,resumen!E$2)</f>
        <v>1</v>
      </c>
      <c r="F12" s="13">
        <f>AVERAGEIFS(gastos!$D$2:$D$32,gastos!$B$2:$B$32,resumen!$A12,gastos!$C$2:$C$32,resumen!F$2)</f>
        <v>76</v>
      </c>
      <c r="G12" s="13">
        <f>AVERAGEIFS(gastos!$D$2:$D$32,gastos!$B$2:$B$32,resumen!$A12,gastos!$C$2:$C$32,resumen!G$2)</f>
        <v>84</v>
      </c>
    </row>
    <row r="13" spans="1:7" ht="15.6" thickTop="1" thickBot="1" x14ac:dyDescent="0.35">
      <c r="A13" s="15" t="s">
        <v>30</v>
      </c>
      <c r="B13" s="23">
        <f>SUMIFS(gastos!$D$2:D$32,gastos!$B$2:$B$32,$A13,gastos!$C$2:$C$32,$B$2)</f>
        <v>67</v>
      </c>
      <c r="C13" s="23" t="e">
        <f>SUMIFS(gastos!$D$2:E$32,gastos!$B$2:$B$32,$A13,gastos!$C$2:$C$32,$B$2)</f>
        <v>#VALUE!</v>
      </c>
      <c r="D13" s="24">
        <f>COUNTIFS(gastos!$B$2:$B$32,resumen!$A13,gastos!$C$2:$C$32,resumen!D$2)</f>
        <v>2</v>
      </c>
      <c r="E13" s="24">
        <f>COUNTIFS(gastos!$B$2:$B$32,resumen!$A13,gastos!$C$2:$C$32,resumen!E$2)</f>
        <v>1</v>
      </c>
      <c r="F13" s="25">
        <f>AVERAGEIFS(gastos!$D$2:$D$32,gastos!$B$2:$B$32,resumen!$A13,gastos!$C$2:$C$32,resumen!F$2)</f>
        <v>33.5</v>
      </c>
      <c r="G13" s="25">
        <f>AVERAGEIFS(gastos!$D$2:$D$32,gastos!$B$2:$B$32,resumen!$A13,gastos!$C$2:$C$32,resumen!G$2)</f>
        <v>11</v>
      </c>
    </row>
    <row r="14" spans="1:7" ht="15" thickTop="1" x14ac:dyDescent="0.3"/>
  </sheetData>
  <sortState xmlns:xlrd2="http://schemas.microsoft.com/office/spreadsheetml/2017/richdata2" ref="A3:G13">
    <sortCondition ref="A3:A13"/>
  </sortState>
  <mergeCells count="4">
    <mergeCell ref="A1:A2"/>
    <mergeCell ref="B1:C1"/>
    <mergeCell ref="D1:E1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2026-05-07T17:33:43Z</dcterms:created>
  <dcterms:modified xsi:type="dcterms:W3CDTF">2026-05-09T15:55:26Z</dcterms:modified>
</cp:coreProperties>
</file>