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VENTAS_DIARIAS" sheetId="2" state="visible" r:id="rId2"/>
    <sheet xmlns:r="http://schemas.openxmlformats.org/officeDocument/2006/relationships" name="ANÁLISIS" sheetId="3" state="visible" r:id="rId3"/>
    <sheet xmlns:r="http://schemas.openxmlformats.org/officeDocument/2006/relationships" name="TABLA_DINÁMICA" sheetId="4" state="visible" r:id="rId4"/>
    <sheet xmlns:r="http://schemas.openxmlformats.org/officeDocument/2006/relationships" name="GRÁFICO_VE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€ &quot;#.##0,00"/>
    <numFmt numFmtId="165" formatCode="&quot;€ &quot;#0,00"/>
    <numFmt numFmtId="166" formatCode="0&quot;%&quot;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i val="1"/>
      <color rgb="00FF000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5B9BD5"/>
        <bgColor rgb="005B9BD5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1" fontId="0" fillId="0" borderId="0" pivotButton="0" quotePrefix="0" xfId="0"/>
    <xf numFmtId="0" fontId="4" fillId="5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5" fillId="6" borderId="0" pivotButton="0" quotePrefix="0" xfId="0"/>
    <xf numFmtId="1" fontId="5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Cantidad Total Vendida por Vendedor (Junio 2025)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'GRÁFICO_VENTAS'!B3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'GRÁFICO_VENTAS'!$A$4:$A$8</f>
            </numRef>
          </cat>
          <val>
            <numRef>
              <f>'GRÁFICO_VENTAS'!$B$4:$B$8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Vendedor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 (unidades)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_PRODUCTOS" displayName="TABLA_PRODUCTOS" ref="A1:E9" headerRowCount="1">
  <autoFilter ref="A1:E9"/>
  <tableColumns count="5">
    <tableColumn id="1" name="CÓDIGO"/>
    <tableColumn id="2" name="DESCRIPCIÓN"/>
    <tableColumn id="3" name="CATEGORÍA"/>
    <tableColumn id="4" name="PRECIO_UNITARIO"/>
    <tableColumn id="5" name="STO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_VENTAS" displayName="TABLA_VENTAS" ref="A1:E41" headerRowCount="1">
  <autoFilter ref="A1:E41"/>
  <tableColumns count="5">
    <tableColumn id="1" name="FECHA"/>
    <tableColumn id="2" name="CÓDIGO_PRODUCTO"/>
    <tableColumn id="3" name="CANTIDAD"/>
    <tableColumn id="4" name="VENDEDOR"/>
    <tableColumn id="5" name="REG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8" customWidth="1" min="4" max="4"/>
    <col width="10" customWidth="1" min="5" max="5"/>
  </cols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CATEGORÍA</t>
        </is>
      </c>
      <c r="D1" t="inlineStr">
        <is>
          <t>PRECIO_UNITARIO</t>
        </is>
      </c>
      <c r="E1" t="inlineStr">
        <is>
          <t>STOCK</t>
        </is>
      </c>
    </row>
    <row r="2">
      <c r="A2" t="inlineStr">
        <is>
          <t>P001</t>
        </is>
      </c>
      <c r="B2" t="inlineStr">
        <is>
          <t>Monitor LED 24"</t>
        </is>
      </c>
      <c r="C2" t="inlineStr">
        <is>
          <t>Monitores</t>
        </is>
      </c>
      <c r="D2" t="n">
        <v>150</v>
      </c>
      <c r="E2" t="n">
        <v>25</v>
      </c>
    </row>
    <row r="3">
      <c r="A3" t="inlineStr">
        <is>
          <t>P002</t>
        </is>
      </c>
      <c r="B3" t="inlineStr">
        <is>
          <t>Teclado Mecánico</t>
        </is>
      </c>
      <c r="C3" t="inlineStr">
        <is>
          <t>Periféricos</t>
        </is>
      </c>
      <c r="D3" t="n">
        <v>85</v>
      </c>
      <c r="E3" t="n">
        <v>40</v>
      </c>
    </row>
    <row r="4">
      <c r="A4" t="inlineStr">
        <is>
          <t>P003</t>
        </is>
      </c>
      <c r="B4" t="inlineStr">
        <is>
          <t>Ratón Inalámbrico</t>
        </is>
      </c>
      <c r="C4" t="inlineStr">
        <is>
          <t>Periféricos</t>
        </is>
      </c>
      <c r="D4" t="n">
        <v>35</v>
      </c>
      <c r="E4" t="n">
        <v>60</v>
      </c>
    </row>
    <row r="5">
      <c r="A5" t="inlineStr">
        <is>
          <t>P004</t>
        </is>
      </c>
      <c r="B5" t="inlineStr">
        <is>
          <t>Tarjeta Gráfica RTX 3060</t>
        </is>
      </c>
      <c r="C5" t="inlineStr">
        <is>
          <t>Componentes</t>
        </is>
      </c>
      <c r="D5" t="n">
        <v>320</v>
      </c>
      <c r="E5" t="n">
        <v>12</v>
      </c>
    </row>
    <row r="6">
      <c r="A6" t="inlineStr">
        <is>
          <t>P005</t>
        </is>
      </c>
      <c r="B6" t="inlineStr">
        <is>
          <t>SSD 500GB</t>
        </is>
      </c>
      <c r="C6" t="inlineStr">
        <is>
          <t>Almacenamiento</t>
        </is>
      </c>
      <c r="D6" t="n">
        <v>55</v>
      </c>
      <c r="E6" t="n">
        <v>35</v>
      </c>
    </row>
    <row r="7">
      <c r="A7" t="inlineStr">
        <is>
          <t>P006</t>
        </is>
      </c>
      <c r="B7" t="inlineStr">
        <is>
          <t>Cable HDMI</t>
        </is>
      </c>
      <c r="C7" t="inlineStr">
        <is>
          <t>Accesorios</t>
        </is>
      </c>
      <c r="D7" t="n">
        <v>8</v>
      </c>
      <c r="E7" t="n">
        <v>150</v>
      </c>
    </row>
    <row r="8">
      <c r="A8" t="inlineStr">
        <is>
          <t>P007</t>
        </is>
      </c>
      <c r="B8" t="inlineStr">
        <is>
          <t>Memoria RAM 16GB</t>
        </is>
      </c>
      <c r="C8" t="inlineStr">
        <is>
          <t>Componentes</t>
        </is>
      </c>
      <c r="D8" t="n">
        <v>95</v>
      </c>
      <c r="E8" t="n">
        <v>20</v>
      </c>
    </row>
    <row r="9">
      <c r="A9" t="inlineStr">
        <is>
          <t>P008</t>
        </is>
      </c>
      <c r="B9" t="inlineStr">
        <is>
          <t>Ventilador CPU</t>
        </is>
      </c>
      <c r="C9" t="inlineStr">
        <is>
          <t>Componentes</t>
        </is>
      </c>
      <c r="D9" t="n">
        <v>28</v>
      </c>
      <c r="E9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2" customWidth="1" min="4" max="4"/>
    <col width="18" customWidth="1" min="5" max="5"/>
  </cols>
  <sheetData>
    <row r="1">
      <c r="A1" t="inlineStr">
        <is>
          <t>FECHA</t>
        </is>
      </c>
      <c r="B1" t="inlineStr">
        <is>
          <t>CÓDIGO_PRODUCTO</t>
        </is>
      </c>
      <c r="C1" t="inlineStr">
        <is>
          <t>CANTIDAD</t>
        </is>
      </c>
      <c r="D1" t="inlineStr">
        <is>
          <t>VENDEDOR</t>
        </is>
      </c>
      <c r="E1" t="inlineStr">
        <is>
          <t>REGIÓN</t>
        </is>
      </c>
    </row>
    <row r="2">
      <c r="A2" t="inlineStr">
        <is>
          <t>01/06/2025</t>
        </is>
      </c>
      <c r="B2" t="inlineStr">
        <is>
          <t>P004</t>
        </is>
      </c>
      <c r="C2" t="n">
        <v>4</v>
      </c>
      <c r="D2" t="inlineStr">
        <is>
          <t>Roberto</t>
        </is>
      </c>
      <c r="E2" t="inlineStr">
        <is>
          <t>Valencia</t>
        </is>
      </c>
    </row>
    <row r="3">
      <c r="A3" t="inlineStr">
        <is>
          <t>02/06/2025</t>
        </is>
      </c>
      <c r="B3" t="inlineStr">
        <is>
          <t>P006</t>
        </is>
      </c>
      <c r="C3" t="n">
        <v>4</v>
      </c>
      <c r="D3" t="inlineStr">
        <is>
          <t>Carlos</t>
        </is>
      </c>
      <c r="E3" t="inlineStr">
        <is>
          <t>Cataluña</t>
        </is>
      </c>
    </row>
    <row r="4">
      <c r="A4" t="inlineStr">
        <is>
          <t>03/06/2025</t>
        </is>
      </c>
      <c r="B4" t="inlineStr">
        <is>
          <t>P005</t>
        </is>
      </c>
      <c r="C4" t="n">
        <v>1</v>
      </c>
      <c r="D4" t="inlineStr">
        <is>
          <t>Ana</t>
        </is>
      </c>
      <c r="E4" t="inlineStr">
        <is>
          <t>Islas Baleares</t>
        </is>
      </c>
    </row>
    <row r="5">
      <c r="A5" t="inlineStr">
        <is>
          <t>04/06/2025</t>
        </is>
      </c>
      <c r="B5" t="inlineStr">
        <is>
          <t>P003</t>
        </is>
      </c>
      <c r="C5" t="n">
        <v>7</v>
      </c>
      <c r="D5" t="inlineStr">
        <is>
          <t>María</t>
        </is>
      </c>
      <c r="E5" t="inlineStr">
        <is>
          <t>Cataluña</t>
        </is>
      </c>
    </row>
    <row r="6">
      <c r="A6" t="inlineStr">
        <is>
          <t>05/06/2025</t>
        </is>
      </c>
      <c r="B6" t="inlineStr">
        <is>
          <t>P008</t>
        </is>
      </c>
      <c r="C6" t="n">
        <v>3</v>
      </c>
      <c r="D6" t="inlineStr">
        <is>
          <t>Carlos</t>
        </is>
      </c>
      <c r="E6" t="inlineStr">
        <is>
          <t>Cataluña</t>
        </is>
      </c>
    </row>
    <row r="7">
      <c r="A7" t="inlineStr">
        <is>
          <t>06/06/2025</t>
        </is>
      </c>
      <c r="B7" t="inlineStr">
        <is>
          <t>P006</t>
        </is>
      </c>
      <c r="C7" t="n">
        <v>9</v>
      </c>
      <c r="D7" t="inlineStr">
        <is>
          <t>María</t>
        </is>
      </c>
      <c r="E7" t="inlineStr">
        <is>
          <t>Valencia</t>
        </is>
      </c>
    </row>
    <row r="8">
      <c r="A8" t="inlineStr">
        <is>
          <t>07/06/2025</t>
        </is>
      </c>
      <c r="B8" t="inlineStr">
        <is>
          <t>P004</t>
        </is>
      </c>
      <c r="C8" t="n">
        <v>3</v>
      </c>
      <c r="D8" t="inlineStr">
        <is>
          <t>Ana</t>
        </is>
      </c>
      <c r="E8" t="inlineStr">
        <is>
          <t>Cataluña</t>
        </is>
      </c>
    </row>
    <row r="9">
      <c r="A9" t="inlineStr">
        <is>
          <t>08/06/2025</t>
        </is>
      </c>
      <c r="B9" t="inlineStr">
        <is>
          <t>P003</t>
        </is>
      </c>
      <c r="C9" t="n">
        <v>9</v>
      </c>
      <c r="D9" t="inlineStr">
        <is>
          <t>Roberto</t>
        </is>
      </c>
      <c r="E9" t="inlineStr">
        <is>
          <t>Islas Baleares</t>
        </is>
      </c>
    </row>
    <row r="10">
      <c r="A10" t="inlineStr">
        <is>
          <t>09/06/2025</t>
        </is>
      </c>
      <c r="B10" t="inlineStr">
        <is>
          <t>P001</t>
        </is>
      </c>
      <c r="C10" t="n">
        <v>7</v>
      </c>
      <c r="D10" t="inlineStr">
        <is>
          <t>Ana</t>
        </is>
      </c>
      <c r="E10" t="inlineStr">
        <is>
          <t>Islas Baleares</t>
        </is>
      </c>
    </row>
    <row r="11">
      <c r="A11" t="inlineStr">
        <is>
          <t>10/06/2025</t>
        </is>
      </c>
      <c r="B11" t="inlineStr">
        <is>
          <t>P008</t>
        </is>
      </c>
      <c r="C11" t="n">
        <v>5</v>
      </c>
      <c r="D11" t="inlineStr">
        <is>
          <t>Juan</t>
        </is>
      </c>
      <c r="E11" t="inlineStr">
        <is>
          <t>Islas Baleares</t>
        </is>
      </c>
    </row>
    <row r="12">
      <c r="A12" t="inlineStr">
        <is>
          <t>11/06/2025</t>
        </is>
      </c>
      <c r="B12" t="inlineStr">
        <is>
          <t>P002</t>
        </is>
      </c>
      <c r="C12" t="n">
        <v>7</v>
      </c>
      <c r="D12" t="inlineStr">
        <is>
          <t>Roberto</t>
        </is>
      </c>
      <c r="E12" t="inlineStr">
        <is>
          <t>Islas Baleares</t>
        </is>
      </c>
    </row>
    <row r="13">
      <c r="A13" t="inlineStr">
        <is>
          <t>12/06/2025</t>
        </is>
      </c>
      <c r="B13" t="inlineStr">
        <is>
          <t>P006</t>
        </is>
      </c>
      <c r="C13" t="n">
        <v>5</v>
      </c>
      <c r="D13" t="inlineStr">
        <is>
          <t>Carlos</t>
        </is>
      </c>
      <c r="E13" t="inlineStr">
        <is>
          <t>Cataluña</t>
        </is>
      </c>
    </row>
    <row r="14">
      <c r="A14" t="inlineStr">
        <is>
          <t>13/06/2025</t>
        </is>
      </c>
      <c r="B14" t="inlineStr">
        <is>
          <t>P007</t>
        </is>
      </c>
      <c r="C14" t="n">
        <v>2</v>
      </c>
      <c r="D14" t="inlineStr">
        <is>
          <t>Carlos</t>
        </is>
      </c>
      <c r="E14" t="inlineStr">
        <is>
          <t>Andalucía</t>
        </is>
      </c>
    </row>
    <row r="15">
      <c r="A15" t="inlineStr">
        <is>
          <t>14/06/2025</t>
        </is>
      </c>
      <c r="B15" t="inlineStr">
        <is>
          <t>P003</t>
        </is>
      </c>
      <c r="C15" t="n">
        <v>6</v>
      </c>
      <c r="D15" t="inlineStr">
        <is>
          <t>Juan</t>
        </is>
      </c>
      <c r="E15" t="inlineStr">
        <is>
          <t>Valencia</t>
        </is>
      </c>
    </row>
    <row r="16">
      <c r="A16" t="inlineStr">
        <is>
          <t>15/06/2025</t>
        </is>
      </c>
      <c r="B16" t="inlineStr">
        <is>
          <t>P007</t>
        </is>
      </c>
      <c r="C16" t="n">
        <v>9</v>
      </c>
      <c r="D16" t="inlineStr">
        <is>
          <t>María</t>
        </is>
      </c>
      <c r="E16" t="inlineStr">
        <is>
          <t>Valencia</t>
        </is>
      </c>
    </row>
    <row r="17">
      <c r="A17" t="inlineStr">
        <is>
          <t>01/06/2025</t>
        </is>
      </c>
      <c r="B17" t="inlineStr">
        <is>
          <t>P002</t>
        </is>
      </c>
      <c r="C17" t="n">
        <v>8</v>
      </c>
      <c r="D17" t="inlineStr">
        <is>
          <t>Roberto</t>
        </is>
      </c>
      <c r="E17" t="inlineStr">
        <is>
          <t>Andalucía</t>
        </is>
      </c>
    </row>
    <row r="18">
      <c r="A18" t="inlineStr">
        <is>
          <t>02/06/2025</t>
        </is>
      </c>
      <c r="B18" t="inlineStr">
        <is>
          <t>P003</t>
        </is>
      </c>
      <c r="C18" t="n">
        <v>6</v>
      </c>
      <c r="D18" t="inlineStr">
        <is>
          <t>Juan</t>
        </is>
      </c>
      <c r="E18" t="inlineStr">
        <is>
          <t>Islas Baleares</t>
        </is>
      </c>
    </row>
    <row r="19">
      <c r="A19" t="inlineStr">
        <is>
          <t>03/06/2025</t>
        </is>
      </c>
      <c r="B19" t="inlineStr">
        <is>
          <t>P003</t>
        </is>
      </c>
      <c r="C19" t="n">
        <v>1</v>
      </c>
      <c r="D19" t="inlineStr">
        <is>
          <t>Ana</t>
        </is>
      </c>
      <c r="E19" t="inlineStr">
        <is>
          <t>Valencia</t>
        </is>
      </c>
    </row>
    <row r="20">
      <c r="A20" t="inlineStr">
        <is>
          <t>04/06/2025</t>
        </is>
      </c>
      <c r="B20" t="inlineStr">
        <is>
          <t>P004</t>
        </is>
      </c>
      <c r="C20" t="n">
        <v>6</v>
      </c>
      <c r="D20" t="inlineStr">
        <is>
          <t>Juan</t>
        </is>
      </c>
      <c r="E20" t="inlineStr">
        <is>
          <t>Andalucía</t>
        </is>
      </c>
    </row>
    <row r="21">
      <c r="A21" t="inlineStr">
        <is>
          <t>05/06/2025</t>
        </is>
      </c>
      <c r="B21" t="inlineStr">
        <is>
          <t>P007</t>
        </is>
      </c>
      <c r="C21" t="n">
        <v>6</v>
      </c>
      <c r="D21" t="inlineStr">
        <is>
          <t>Carlos</t>
        </is>
      </c>
      <c r="E21" t="inlineStr">
        <is>
          <t>Cataluña</t>
        </is>
      </c>
    </row>
    <row r="22">
      <c r="A22" t="inlineStr">
        <is>
          <t>06/06/2025</t>
        </is>
      </c>
      <c r="B22" t="inlineStr">
        <is>
          <t>P004</t>
        </is>
      </c>
      <c r="C22" t="n">
        <v>1</v>
      </c>
      <c r="D22" t="inlineStr">
        <is>
          <t>María</t>
        </is>
      </c>
      <c r="E22" t="inlineStr">
        <is>
          <t>Valencia</t>
        </is>
      </c>
    </row>
    <row r="23">
      <c r="A23" t="inlineStr">
        <is>
          <t>07/06/2025</t>
        </is>
      </c>
      <c r="B23" t="inlineStr">
        <is>
          <t>P008</t>
        </is>
      </c>
      <c r="C23" t="n">
        <v>6</v>
      </c>
      <c r="D23" t="inlineStr">
        <is>
          <t>Juan</t>
        </is>
      </c>
      <c r="E23" t="inlineStr">
        <is>
          <t>Andalucía</t>
        </is>
      </c>
    </row>
    <row r="24">
      <c r="A24" t="inlineStr">
        <is>
          <t>08/06/2025</t>
        </is>
      </c>
      <c r="B24" t="inlineStr">
        <is>
          <t>P005</t>
        </is>
      </c>
      <c r="C24" t="n">
        <v>8</v>
      </c>
      <c r="D24" t="inlineStr">
        <is>
          <t>Juan</t>
        </is>
      </c>
      <c r="E24" t="inlineStr">
        <is>
          <t>Cataluña</t>
        </is>
      </c>
    </row>
    <row r="25">
      <c r="A25" t="inlineStr">
        <is>
          <t>09/06/2025</t>
        </is>
      </c>
      <c r="B25" t="inlineStr">
        <is>
          <t>P004</t>
        </is>
      </c>
      <c r="C25" t="n">
        <v>8</v>
      </c>
      <c r="D25" t="inlineStr">
        <is>
          <t>María</t>
        </is>
      </c>
      <c r="E25" t="inlineStr">
        <is>
          <t>Cataluña</t>
        </is>
      </c>
    </row>
    <row r="26">
      <c r="A26" t="inlineStr">
        <is>
          <t>10/06/2025</t>
        </is>
      </c>
      <c r="B26" t="inlineStr">
        <is>
          <t>P005</t>
        </is>
      </c>
      <c r="C26" t="n">
        <v>7</v>
      </c>
      <c r="D26" t="inlineStr">
        <is>
          <t>Ana</t>
        </is>
      </c>
      <c r="E26" t="inlineStr">
        <is>
          <t>Islas Baleares</t>
        </is>
      </c>
    </row>
    <row r="27">
      <c r="A27" t="inlineStr">
        <is>
          <t>11/06/2025</t>
        </is>
      </c>
      <c r="B27" t="inlineStr">
        <is>
          <t>P008</t>
        </is>
      </c>
      <c r="C27" t="n">
        <v>6</v>
      </c>
      <c r="D27" t="inlineStr">
        <is>
          <t>Juan</t>
        </is>
      </c>
      <c r="E27" t="inlineStr">
        <is>
          <t>Cataluña</t>
        </is>
      </c>
    </row>
    <row r="28">
      <c r="A28" t="inlineStr">
        <is>
          <t>12/06/2025</t>
        </is>
      </c>
      <c r="B28" t="inlineStr">
        <is>
          <t>P002</t>
        </is>
      </c>
      <c r="C28" t="n">
        <v>2</v>
      </c>
      <c r="D28" t="inlineStr">
        <is>
          <t>Juan</t>
        </is>
      </c>
      <c r="E28" t="inlineStr">
        <is>
          <t>Andalucía</t>
        </is>
      </c>
    </row>
    <row r="29">
      <c r="A29" t="inlineStr">
        <is>
          <t>13/06/2025</t>
        </is>
      </c>
      <c r="B29" t="inlineStr">
        <is>
          <t>P001</t>
        </is>
      </c>
      <c r="C29" t="n">
        <v>2</v>
      </c>
      <c r="D29" t="inlineStr">
        <is>
          <t>Roberto</t>
        </is>
      </c>
      <c r="E29" t="inlineStr">
        <is>
          <t>Islas Baleares</t>
        </is>
      </c>
    </row>
    <row r="30">
      <c r="A30" t="inlineStr">
        <is>
          <t>14/06/2025</t>
        </is>
      </c>
      <c r="B30" t="inlineStr">
        <is>
          <t>P004</t>
        </is>
      </c>
      <c r="C30" t="n">
        <v>6</v>
      </c>
      <c r="D30" t="inlineStr">
        <is>
          <t>Carlos</t>
        </is>
      </c>
      <c r="E30" t="inlineStr">
        <is>
          <t>Cataluña</t>
        </is>
      </c>
    </row>
    <row r="31">
      <c r="A31" t="inlineStr">
        <is>
          <t>15/06/2025</t>
        </is>
      </c>
      <c r="B31" t="inlineStr">
        <is>
          <t>P007</t>
        </is>
      </c>
      <c r="C31" t="n">
        <v>2</v>
      </c>
      <c r="D31" t="inlineStr">
        <is>
          <t>Carlos</t>
        </is>
      </c>
      <c r="E31" t="inlineStr">
        <is>
          <t>Islas Baleares</t>
        </is>
      </c>
    </row>
    <row r="32">
      <c r="A32" t="inlineStr">
        <is>
          <t>01/06/2025</t>
        </is>
      </c>
      <c r="B32" t="inlineStr">
        <is>
          <t>P005</t>
        </is>
      </c>
      <c r="C32" t="n">
        <v>7</v>
      </c>
      <c r="D32" t="inlineStr">
        <is>
          <t>Carlos</t>
        </is>
      </c>
      <c r="E32" t="inlineStr">
        <is>
          <t>Andalucía</t>
        </is>
      </c>
    </row>
    <row r="33">
      <c r="A33" t="inlineStr">
        <is>
          <t>02/06/2025</t>
        </is>
      </c>
      <c r="B33" t="inlineStr">
        <is>
          <t>P004</t>
        </is>
      </c>
      <c r="C33" t="n">
        <v>3</v>
      </c>
      <c r="D33" t="inlineStr">
        <is>
          <t>María</t>
        </is>
      </c>
      <c r="E33" t="inlineStr">
        <is>
          <t>Cataluña</t>
        </is>
      </c>
    </row>
    <row r="34">
      <c r="A34" t="inlineStr">
        <is>
          <t>03/06/2025</t>
        </is>
      </c>
      <c r="B34" t="inlineStr">
        <is>
          <t>P005</t>
        </is>
      </c>
      <c r="C34" t="n">
        <v>7</v>
      </c>
      <c r="D34" t="inlineStr">
        <is>
          <t>Juan</t>
        </is>
      </c>
      <c r="E34" t="inlineStr">
        <is>
          <t>Andalucía</t>
        </is>
      </c>
    </row>
    <row r="35">
      <c r="A35" t="inlineStr">
        <is>
          <t>04/06/2025</t>
        </is>
      </c>
      <c r="B35" t="inlineStr">
        <is>
          <t>P008</t>
        </is>
      </c>
      <c r="C35" t="n">
        <v>10</v>
      </c>
      <c r="D35" t="inlineStr">
        <is>
          <t>Carlos</t>
        </is>
      </c>
      <c r="E35" t="inlineStr">
        <is>
          <t>Valencia</t>
        </is>
      </c>
    </row>
    <row r="36">
      <c r="A36" t="inlineStr">
        <is>
          <t>05/06/2025</t>
        </is>
      </c>
      <c r="B36" t="inlineStr">
        <is>
          <t>P008</t>
        </is>
      </c>
      <c r="C36" t="n">
        <v>3</v>
      </c>
      <c r="D36" t="inlineStr">
        <is>
          <t>Ana</t>
        </is>
      </c>
      <c r="E36" t="inlineStr">
        <is>
          <t>Cataluña</t>
        </is>
      </c>
    </row>
    <row r="37">
      <c r="A37" t="inlineStr">
        <is>
          <t>06/06/2025</t>
        </is>
      </c>
      <c r="B37" t="inlineStr">
        <is>
          <t>P006</t>
        </is>
      </c>
      <c r="C37" t="n">
        <v>5</v>
      </c>
      <c r="D37" t="inlineStr">
        <is>
          <t>Carlos</t>
        </is>
      </c>
      <c r="E37" t="inlineStr">
        <is>
          <t>Andalucía</t>
        </is>
      </c>
    </row>
    <row r="38">
      <c r="A38" t="inlineStr">
        <is>
          <t>07/06/2025</t>
        </is>
      </c>
      <c r="B38" t="inlineStr">
        <is>
          <t>P003</t>
        </is>
      </c>
      <c r="C38" t="n">
        <v>5</v>
      </c>
      <c r="D38" t="inlineStr">
        <is>
          <t>Juan</t>
        </is>
      </c>
      <c r="E38" t="inlineStr">
        <is>
          <t>Valencia</t>
        </is>
      </c>
    </row>
    <row r="39">
      <c r="A39" t="inlineStr">
        <is>
          <t>08/06/2025</t>
        </is>
      </c>
      <c r="B39" t="inlineStr">
        <is>
          <t>P002</t>
        </is>
      </c>
      <c r="C39" t="n">
        <v>4</v>
      </c>
      <c r="D39" t="inlineStr">
        <is>
          <t>María</t>
        </is>
      </c>
      <c r="E39" t="inlineStr">
        <is>
          <t>Valencia</t>
        </is>
      </c>
    </row>
    <row r="40">
      <c r="A40" t="inlineStr">
        <is>
          <t>09/06/2025</t>
        </is>
      </c>
      <c r="B40" t="inlineStr">
        <is>
          <t>P004</t>
        </is>
      </c>
      <c r="C40" t="n">
        <v>9</v>
      </c>
      <c r="D40" t="inlineStr">
        <is>
          <t>María</t>
        </is>
      </c>
      <c r="E40" t="inlineStr">
        <is>
          <t>Andalucía</t>
        </is>
      </c>
    </row>
    <row r="41">
      <c r="A41" t="inlineStr">
        <is>
          <t>10/06/2025</t>
        </is>
      </c>
      <c r="B41" t="inlineStr">
        <is>
          <t>P008</t>
        </is>
      </c>
      <c r="C41" t="n">
        <v>6</v>
      </c>
      <c r="D41" t="inlineStr">
        <is>
          <t>Roberto</t>
        </is>
      </c>
      <c r="E41" t="inlineStr">
        <is>
          <t>Valencia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SECCIÓN 1: ANÁLISIS DE VENTAS CON VLOOKUP</t>
        </is>
      </c>
    </row>
    <row r="3">
      <c r="A3" s="4" t="inlineStr">
        <is>
          <t>Código</t>
        </is>
      </c>
      <c r="B3" s="4" t="inlineStr">
        <is>
          <t>Descripción</t>
        </is>
      </c>
      <c r="C3" s="4" t="inlineStr">
        <is>
          <t>Precio Unitario</t>
        </is>
      </c>
      <c r="D3" s="4" t="inlineStr">
        <is>
          <t>Total Vendido</t>
        </is>
      </c>
      <c r="E3" s="4" t="inlineStr">
        <is>
          <t>Descuento (%)</t>
        </is>
      </c>
      <c r="F3" s="4" t="inlineStr">
        <is>
          <t>Precio Final</t>
        </is>
      </c>
    </row>
    <row r="4">
      <c r="A4" t="inlineStr">
        <is>
          <t>P001</t>
        </is>
      </c>
      <c r="B4">
        <f>VLOOKUP(A4,TABLA_PRODUCTOS,2,0)</f>
        <v/>
      </c>
      <c r="C4" s="5">
        <f>VLOOKUP(A4,TABLA_PRODUCTOS,4,0)</f>
        <v/>
      </c>
      <c r="D4" s="5">
        <f>SUMPRODUCT((TABLA_VENTAS[CÓDIGO_PRODUCTO]=A4)*(TABLA_VENTAS[CANTIDAD]))*C4</f>
        <v/>
      </c>
      <c r="E4" s="6">
        <f>IF(D4&gt;500,10,IF(D4&gt;250,5,0))</f>
        <v/>
      </c>
      <c r="F4" s="7">
        <f>ROUND(D4*(1-E4/100),2)</f>
        <v/>
      </c>
    </row>
    <row r="5">
      <c r="A5" t="inlineStr">
        <is>
          <t>P003</t>
        </is>
      </c>
      <c r="B5">
        <f>VLOOKUP(A5,TABLA_PRODUCTOS,2,0)</f>
        <v/>
      </c>
      <c r="C5" s="5">
        <f>VLOOKUP(A5,TABLA_PRODUCTOS,4,0)</f>
        <v/>
      </c>
      <c r="D5" s="5">
        <f>SUMPRODUCT((TABLA_VENTAS[CÓDIGO_PRODUCTO]=A5)*(TABLA_VENTAS[CANTIDAD]))*C5</f>
        <v/>
      </c>
      <c r="E5" s="6">
        <f>IF(D5&gt;500,10,IF(D5&gt;250,5,0))</f>
        <v/>
      </c>
      <c r="F5" s="7">
        <f>ROUND(D5*(1-E5/100),2)</f>
        <v/>
      </c>
    </row>
    <row r="6">
      <c r="A6" t="inlineStr">
        <is>
          <t>P005</t>
        </is>
      </c>
      <c r="B6">
        <f>VLOOKUP(A6,TABLA_PRODUCTOS,2,0)</f>
        <v/>
      </c>
      <c r="C6" s="5">
        <f>VLOOKUP(A6,TABLA_PRODUCTOS,4,0)</f>
        <v/>
      </c>
      <c r="D6" s="5">
        <f>SUMPRODUCT((TABLA_VENTAS[CÓDIGO_PRODUCTO]=A6)*(TABLA_VENTAS[CANTIDAD]))*C6</f>
        <v/>
      </c>
      <c r="E6" s="6">
        <f>IF(D6&gt;500,10,IF(D6&gt;250,5,0))</f>
        <v/>
      </c>
      <c r="F6" s="7">
        <f>ROUND(D6*(1-E6/100),2)</f>
        <v/>
      </c>
    </row>
    <row r="7">
      <c r="A7" t="inlineStr">
        <is>
          <t>P007</t>
        </is>
      </c>
      <c r="B7">
        <f>VLOOKUP(A7,TABLA_PRODUCTOS,2,0)</f>
        <v/>
      </c>
      <c r="C7" s="5">
        <f>VLOOKUP(A7,TABLA_PRODUCTOS,4,0)</f>
        <v/>
      </c>
      <c r="D7" s="5">
        <f>SUMPRODUCT((TABLA_VENTAS[CÓDIGO_PRODUCTO]=A7)*(TABLA_VENTAS[CANTIDAD]))*C7</f>
        <v/>
      </c>
      <c r="E7" s="6">
        <f>IF(D7&gt;500,10,IF(D7&gt;250,5,0))</f>
        <v/>
      </c>
      <c r="F7" s="7">
        <f>ROUND(D7*(1-E7/100),2)</f>
        <v/>
      </c>
    </row>
    <row r="11">
      <c r="A11" s="1" t="inlineStr">
        <is>
          <t>SECCIÓN 2: ESTADÍSTICAS</t>
        </is>
      </c>
    </row>
    <row r="13">
      <c r="A13" s="8" t="inlineStr">
        <is>
          <t>Total de ventas (€):</t>
        </is>
      </c>
      <c r="B13" s="5">
        <f>SUMPRODUCT((TABLA_VENTAS[CANTIDAD])*VLOOKUP(TABLA_VENTAS[CÓDIGO_PRODUCTO],TABLA_PRODUCTOS,4,0))</f>
        <v/>
      </c>
    </row>
    <row r="14">
      <c r="A14" s="8" t="inlineStr">
        <is>
          <t>Número de transacciones:</t>
        </is>
      </c>
      <c r="B14" s="9">
        <f>COUNTA(TABLA_VENTAS[CANTIDAD])</f>
        <v/>
      </c>
    </row>
    <row r="15">
      <c r="A15" s="8" t="inlineStr">
        <is>
          <t>Cantidad promedio por venta:</t>
        </is>
      </c>
      <c r="B15" s="9">
        <f>AVERAGE(TABLA_VENTAS[CANTIDAD])</f>
        <v/>
      </c>
    </row>
    <row r="16">
      <c r="A16" s="8" t="inlineStr">
        <is>
          <t>Cantidad máxima:</t>
        </is>
      </c>
      <c r="B16" s="9">
        <f>MAX(TABLA_VENTAS[CANTIDAD])</f>
        <v/>
      </c>
    </row>
    <row r="17">
      <c r="A17" s="8" t="inlineStr">
        <is>
          <t>Cantidad mínima:</t>
        </is>
      </c>
      <c r="B17" s="9">
        <f>MIN(TABLA_VENTAS[CANTIDAD])</f>
        <v/>
      </c>
    </row>
    <row r="19">
      <c r="A19" s="2" t="inlineStr">
        <is>
          <t>Ventas por región:</t>
        </is>
      </c>
    </row>
    <row r="20">
      <c r="A20" s="10" t="inlineStr">
        <is>
          <t>Islas Baleares</t>
        </is>
      </c>
      <c r="B20" s="11">
        <f>SUMPRODUCT((TABLA_VENTAS[REGIÓN]=A20)*(TABLA_VENTAS[CANTIDAD]))</f>
        <v/>
      </c>
    </row>
    <row r="21">
      <c r="A21" s="10" t="inlineStr">
        <is>
          <t>Cataluña</t>
        </is>
      </c>
      <c r="B21" s="11">
        <f>SUMPRODUCT((TABLA_VENTAS[REGIÓN]=A21)*(TABLA_VENTAS[CANTIDAD]))</f>
        <v/>
      </c>
    </row>
    <row r="22">
      <c r="A22" s="10" t="inlineStr">
        <is>
          <t>Valencia</t>
        </is>
      </c>
      <c r="B22" s="11">
        <f>SUMPRODUCT((TABLA_VENTAS[REGIÓN]=A22)*(TABLA_VENTAS[CANTIDAD]))</f>
        <v/>
      </c>
    </row>
    <row r="23">
      <c r="A23" s="10" t="inlineStr">
        <is>
          <t>Andalucía</t>
        </is>
      </c>
      <c r="B23" s="11">
        <f>SUMPRODUCT((TABLA_VENTAS[REGIÓN]=A23)*(TABLA_VENTAS[CANTIDAD]))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TABLA DE RESUMEN: VENTAS POR VENDEDOR Y REGIÓN</t>
        </is>
      </c>
    </row>
    <row r="3">
      <c r="A3" s="12" t="inlineStr">
        <is>
          <t>VENDEDOR</t>
        </is>
      </c>
      <c r="B3" s="12" t="inlineStr">
        <is>
          <t>Islas Baleares</t>
        </is>
      </c>
      <c r="C3" s="12" t="inlineStr">
        <is>
          <t>Cataluña</t>
        </is>
      </c>
      <c r="D3" s="12" t="inlineStr">
        <is>
          <t>Valencia</t>
        </is>
      </c>
      <c r="E3" s="12" t="inlineStr">
        <is>
          <t>Andalucía</t>
        </is>
      </c>
      <c r="F3" s="12" t="inlineStr">
        <is>
          <t>Total</t>
        </is>
      </c>
    </row>
    <row r="4">
      <c r="A4" t="inlineStr">
        <is>
          <t>Juan</t>
        </is>
      </c>
      <c r="B4" s="13">
        <f>SUMPRODUCT((TABLA_VENTAS[VENDEDOR]=A4)*(TABLA_VENTAS[REGIÓN]="Islas Baleares")*(TABLA_VENTAS[CANTIDAD]))</f>
        <v/>
      </c>
      <c r="C4" s="13">
        <f>SUMPRODUCT((TABLA_VENTAS[VENDEDOR]=A4)*(TABLA_VENTAS[REGIÓN]="Cataluña")*(TABLA_VENTAS[CANTIDAD]))</f>
        <v/>
      </c>
      <c r="D4" s="13">
        <f>SUMPRODUCT((TABLA_VENTAS[VENDEDOR]=A4)*(TABLA_VENTAS[REGIÓN]="Valencia")*(TABLA_VENTAS[CANTIDAD]))</f>
        <v/>
      </c>
      <c r="E4" s="13">
        <f>SUMPRODUCT((TABLA_VENTAS[VENDEDOR]=A4)*(TABLA_VENTAS[REGIÓN]="Andalucía")*(TABLA_VENTAS[CANTIDAD]))</f>
        <v/>
      </c>
      <c r="F4" s="13">
        <f>SUM(B4:E4)</f>
        <v/>
      </c>
    </row>
    <row r="5">
      <c r="A5" t="inlineStr">
        <is>
          <t>María</t>
        </is>
      </c>
      <c r="B5" s="13">
        <f>SUMPRODUCT((TABLA_VENTAS[VENDEDOR]=A5)*(TABLA_VENTAS[REGIÓN]="Islas Baleares")*(TABLA_VENTAS[CANTIDAD]))</f>
        <v/>
      </c>
      <c r="C5" s="13">
        <f>SUMPRODUCT((TABLA_VENTAS[VENDEDOR]=A5)*(TABLA_VENTAS[REGIÓN]="Cataluña")*(TABLA_VENTAS[CANTIDAD]))</f>
        <v/>
      </c>
      <c r="D5" s="13">
        <f>SUMPRODUCT((TABLA_VENTAS[VENDEDOR]=A5)*(TABLA_VENTAS[REGIÓN]="Valencia")*(TABLA_VENTAS[CANTIDAD]))</f>
        <v/>
      </c>
      <c r="E5" s="13">
        <f>SUMPRODUCT((TABLA_VENTAS[VENDEDOR]=A5)*(TABLA_VENTAS[REGIÓN]="Andalucía")*(TABLA_VENTAS[CANTIDAD]))</f>
        <v/>
      </c>
      <c r="F5" s="13">
        <f>SUM(B5:E5)</f>
        <v/>
      </c>
    </row>
    <row r="6">
      <c r="A6" t="inlineStr">
        <is>
          <t>Carlos</t>
        </is>
      </c>
      <c r="B6" s="13">
        <f>SUMPRODUCT((TABLA_VENTAS[VENDEDOR]=A6)*(TABLA_VENTAS[REGIÓN]="Islas Baleares")*(TABLA_VENTAS[CANTIDAD]))</f>
        <v/>
      </c>
      <c r="C6" s="13">
        <f>SUMPRODUCT((TABLA_VENTAS[VENDEDOR]=A6)*(TABLA_VENTAS[REGIÓN]="Cataluña")*(TABLA_VENTAS[CANTIDAD]))</f>
        <v/>
      </c>
      <c r="D6" s="13">
        <f>SUMPRODUCT((TABLA_VENTAS[VENDEDOR]=A6)*(TABLA_VENTAS[REGIÓN]="Valencia")*(TABLA_VENTAS[CANTIDAD]))</f>
        <v/>
      </c>
      <c r="E6" s="13">
        <f>SUMPRODUCT((TABLA_VENTAS[VENDEDOR]=A6)*(TABLA_VENTAS[REGIÓN]="Andalucía")*(TABLA_VENTAS[CANTIDAD]))</f>
        <v/>
      </c>
      <c r="F6" s="13">
        <f>SUM(B6:E6)</f>
        <v/>
      </c>
    </row>
    <row r="7">
      <c r="A7" t="inlineStr">
        <is>
          <t>Ana</t>
        </is>
      </c>
      <c r="B7" s="13">
        <f>SUMPRODUCT((TABLA_VENTAS[VENDEDOR]=A7)*(TABLA_VENTAS[REGIÓN]="Islas Baleares")*(TABLA_VENTAS[CANTIDAD]))</f>
        <v/>
      </c>
      <c r="C7" s="13">
        <f>SUMPRODUCT((TABLA_VENTAS[VENDEDOR]=A7)*(TABLA_VENTAS[REGIÓN]="Cataluña")*(TABLA_VENTAS[CANTIDAD]))</f>
        <v/>
      </c>
      <c r="D7" s="13">
        <f>SUMPRODUCT((TABLA_VENTAS[VENDEDOR]=A7)*(TABLA_VENTAS[REGIÓN]="Valencia")*(TABLA_VENTAS[CANTIDAD]))</f>
        <v/>
      </c>
      <c r="E7" s="13">
        <f>SUMPRODUCT((TABLA_VENTAS[VENDEDOR]=A7)*(TABLA_VENTAS[REGIÓN]="Andalucía")*(TABLA_VENTAS[CANTIDAD]))</f>
        <v/>
      </c>
      <c r="F7" s="13">
        <f>SUM(B7:E7)</f>
        <v/>
      </c>
    </row>
    <row r="8">
      <c r="A8" t="inlineStr">
        <is>
          <t>Roberto</t>
        </is>
      </c>
      <c r="B8" s="13">
        <f>SUMPRODUCT((TABLA_VENTAS[VENDEDOR]=A8)*(TABLA_VENTAS[REGIÓN]="Islas Baleares")*(TABLA_VENTAS[CANTIDAD]))</f>
        <v/>
      </c>
      <c r="C8" s="13">
        <f>SUMPRODUCT((TABLA_VENTAS[VENDEDOR]=A8)*(TABLA_VENTAS[REGIÓN]="Cataluña")*(TABLA_VENTAS[CANTIDAD]))</f>
        <v/>
      </c>
      <c r="D8" s="13">
        <f>SUMPRODUCT((TABLA_VENTAS[VENDEDOR]=A8)*(TABLA_VENTAS[REGIÓN]="Valencia")*(TABLA_VENTAS[CANTIDAD]))</f>
        <v/>
      </c>
      <c r="E8" s="13">
        <f>SUMPRODUCT((TABLA_VENTAS[VENDEDOR]=A8)*(TABLA_VENTAS[REGIÓN]="Andalucía")*(TABLA_VENTAS[CANTIDAD]))</f>
        <v/>
      </c>
      <c r="F8" s="13">
        <f>SUM(B8:E8)</f>
        <v/>
      </c>
    </row>
    <row r="9">
      <c r="A9" s="14" t="inlineStr">
        <is>
          <t>TOTAL</t>
        </is>
      </c>
      <c r="B9" s="15">
        <f>SUM(B4:B8)</f>
        <v/>
      </c>
      <c r="C9" s="15">
        <f>SUM(C4:C8)</f>
        <v/>
      </c>
      <c r="D9" s="15">
        <f>SUM(D4:D8)</f>
        <v/>
      </c>
      <c r="E9" s="15">
        <f>SUM(E4:E8)</f>
        <v/>
      </c>
      <c r="F9" s="15">
        <f>SUM(F4:F8)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 Visual: Ventas por Vendedor</t>
        </is>
      </c>
    </row>
    <row r="3">
      <c r="A3" t="inlineStr">
        <is>
          <t>VENDEDOR</t>
        </is>
      </c>
      <c r="B3" t="inlineStr">
        <is>
          <t>TOTAL (unidades)</t>
        </is>
      </c>
    </row>
    <row r="4">
      <c r="A4" t="inlineStr">
        <is>
          <t>Juan</t>
        </is>
      </c>
      <c r="B4" s="11">
        <f>TABLA_DINÁMICA!F4</f>
        <v/>
      </c>
    </row>
    <row r="5">
      <c r="A5" t="inlineStr">
        <is>
          <t>María</t>
        </is>
      </c>
      <c r="B5" s="11">
        <f>TABLA_DINÁMICA!F5</f>
        <v/>
      </c>
    </row>
    <row r="6">
      <c r="A6" t="inlineStr">
        <is>
          <t>Carlos</t>
        </is>
      </c>
      <c r="B6" s="11">
        <f>TABLA_DINÁMICA!F6</f>
        <v/>
      </c>
    </row>
    <row r="7">
      <c r="A7" t="inlineStr">
        <is>
          <t>Ana</t>
        </is>
      </c>
      <c r="B7" s="11">
        <f>TABLA_DINÁMICA!F7</f>
        <v/>
      </c>
    </row>
    <row r="8">
      <c r="A8" t="inlineStr">
        <is>
          <t>Roberto</t>
        </is>
      </c>
      <c r="B8" s="11">
        <f>TABLA_DINÁMICA!F8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2026-06-30T15:24:59Z</dcterms:created>
  <dcterms:modified xmlns:dcterms="http://purl.org/dc/terms/" xmlns:xsi="http://www.w3.org/2001/XMLSchema-instance" xsi:type="dcterms:W3CDTF">2026-06-30T15:25:36Z</dcterms:modified>
</cp:coreProperties>
</file>